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T 2025\Downloads\Helpdesk Improvement\"/>
    </mc:Choice>
  </mc:AlternateContent>
  <xr:revisionPtr revIDLastSave="0" documentId="13_ncr:1_{7E54E544-DDDE-4094-9400-AB99D882284A}" xr6:coauthVersionLast="47" xr6:coauthVersionMax="47" xr10:uidLastSave="{00000000-0000-0000-0000-000000000000}"/>
  <bookViews>
    <workbookView xWindow="-108" yWindow="-108" windowWidth="23256" windowHeight="12456" activeTab="1" xr2:uid="{9C4F61CE-B455-6840-A062-C3C63EF3339E}"/>
  </bookViews>
  <sheets>
    <sheet name="Development program  1" sheetId="3" r:id="rId1"/>
    <sheet name="Development program "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9" i="1" l="1"/>
  <c r="H55" i="3"/>
  <c r="H5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Imanuel Iman</author>
  </authors>
  <commentList>
    <comment ref="F32" authorId="0" shapeId="0" xr:uid="{FC50C937-04D6-084C-9CC9-6EA17A5DD494}">
      <text>
        <r>
          <rPr>
            <b/>
            <sz val="10"/>
            <color rgb="FF000000"/>
            <rFont val="Tahoma"/>
            <family val="2"/>
          </rPr>
          <t>setelah plan sudah tidak bisa di rubah</t>
        </r>
        <r>
          <rPr>
            <sz val="10"/>
            <color rgb="FF000000"/>
            <rFont val="Tahoma"/>
            <family val="2"/>
          </rPr>
          <t xml:space="preserve">
</t>
        </r>
      </text>
    </comment>
  </commentList>
</comments>
</file>

<file path=xl/sharedStrings.xml><?xml version="1.0" encoding="utf-8"?>
<sst xmlns="http://schemas.openxmlformats.org/spreadsheetml/2006/main" count="660" uniqueCount="107">
  <si>
    <t xml:space="preserve">Modul </t>
  </si>
  <si>
    <t>Input free text</t>
  </si>
  <si>
    <t>Tahapan</t>
  </si>
  <si>
    <t>Sosialisasi + IK penggunaan</t>
  </si>
  <si>
    <t>PIC</t>
  </si>
  <si>
    <t>Plan</t>
  </si>
  <si>
    <t>Aktual</t>
  </si>
  <si>
    <t>Otomatis bisis analis</t>
  </si>
  <si>
    <t>Programmer</t>
  </si>
  <si>
    <t>Perbaikan setelah UAT</t>
  </si>
  <si>
    <t>Perbaikan setelah Go live approval</t>
  </si>
  <si>
    <t>Otomatis programmer</t>
  </si>
  <si>
    <r>
      <rPr>
        <u/>
        <sz val="12"/>
        <color theme="1"/>
        <rFont val="Aptos Narrow (Body)"/>
      </rPr>
      <t>Konsep</t>
    </r>
    <r>
      <rPr>
        <sz val="12"/>
        <color theme="1"/>
        <rFont val="Aptos Narrow"/>
        <family val="2"/>
        <scheme val="minor"/>
      </rPr>
      <t xml:space="preserve"> sampai dengan approval konsep PM dan Programmer</t>
    </r>
  </si>
  <si>
    <r>
      <rPr>
        <u/>
        <sz val="12"/>
        <color theme="1"/>
        <rFont val="Aptos Narrow (Body)"/>
      </rPr>
      <t>Approval konsep</t>
    </r>
    <r>
      <rPr>
        <sz val="12"/>
        <color theme="1"/>
        <rFont val="Aptos Narrow"/>
        <family val="2"/>
        <scheme val="minor"/>
      </rPr>
      <t xml:space="preserve"> oleh client</t>
    </r>
  </si>
  <si>
    <r>
      <rPr>
        <u/>
        <sz val="12"/>
        <color theme="1"/>
        <rFont val="Aptos Narrow (Body)"/>
      </rPr>
      <t>Go live</t>
    </r>
    <r>
      <rPr>
        <sz val="12"/>
        <color theme="1"/>
        <rFont val="Aptos Narrow"/>
        <family val="2"/>
        <scheme val="minor"/>
      </rPr>
      <t>, sampai go live approval</t>
    </r>
  </si>
  <si>
    <t>Manhour</t>
  </si>
  <si>
    <t>Due date</t>
  </si>
  <si>
    <t xml:space="preserve">Input </t>
  </si>
  <si>
    <t>select date</t>
  </si>
  <si>
    <t>Upload file</t>
  </si>
  <si>
    <t>No</t>
  </si>
  <si>
    <t>Client</t>
  </si>
  <si>
    <t xml:space="preserve">Select Client </t>
  </si>
  <si>
    <t>Project</t>
  </si>
  <si>
    <t>Select project</t>
  </si>
  <si>
    <t>Bisnis analis</t>
  </si>
  <si>
    <t>Select bisnis analis</t>
  </si>
  <si>
    <t>Select programmer</t>
  </si>
  <si>
    <t>QA Program</t>
  </si>
  <si>
    <t>PM</t>
  </si>
  <si>
    <t xml:space="preserve">Select all </t>
  </si>
  <si>
    <t>ORI</t>
  </si>
  <si>
    <t xml:space="preserve">Pengembangan program </t>
  </si>
  <si>
    <t>Rama</t>
  </si>
  <si>
    <t>Syamsuddin</t>
  </si>
  <si>
    <t>Imanuel Iman</t>
  </si>
  <si>
    <t>Hikmat</t>
  </si>
  <si>
    <t xml:space="preserve">Asset </t>
  </si>
  <si>
    <t>19 Juli 2026</t>
  </si>
  <si>
    <t>Target date selesai</t>
  </si>
  <si>
    <t>Target manhour bisnis analis</t>
  </si>
  <si>
    <t>Target manhour programmer</t>
  </si>
  <si>
    <t>Target manhour PM</t>
  </si>
  <si>
    <t>Target mangour QA</t>
  </si>
  <si>
    <t>QA</t>
  </si>
  <si>
    <t xml:space="preserve">Action </t>
  </si>
  <si>
    <t>Total modul</t>
  </si>
  <si>
    <t>Modul finish</t>
  </si>
  <si>
    <t xml:space="preserve">Jumlah modul </t>
  </si>
  <si>
    <t>Modul yang sudah dinyatakan finish</t>
  </si>
  <si>
    <t>Rama, Andri</t>
  </si>
  <si>
    <t>Action</t>
  </si>
  <si>
    <t>Update</t>
  </si>
  <si>
    <t>Modul</t>
  </si>
  <si>
    <t>Asset</t>
  </si>
  <si>
    <t>16 Juli</t>
  </si>
  <si>
    <t>Save draft</t>
  </si>
  <si>
    <t>Rama . Andri</t>
  </si>
  <si>
    <t>Tahapan (FIX)</t>
  </si>
  <si>
    <t>Perbaikan setelah FAT</t>
  </si>
  <si>
    <t>View/ Update/ Edit</t>
  </si>
  <si>
    <t>Keterangan</t>
  </si>
  <si>
    <t>Others, meeting</t>
  </si>
  <si>
    <t>Input pekerjaan</t>
  </si>
  <si>
    <t xml:space="preserve">Tahapan selesai </t>
  </si>
  <si>
    <t>Aktual date</t>
  </si>
  <si>
    <r>
      <rPr>
        <u/>
        <sz val="12"/>
        <color theme="1"/>
        <rFont val="Aptos Narrow (Body)"/>
      </rPr>
      <t>Konsep</t>
    </r>
    <r>
      <rPr>
        <sz val="12"/>
        <color theme="1"/>
        <rFont val="Aptos Narrow"/>
        <family val="2"/>
        <scheme val="minor"/>
      </rPr>
      <t xml:space="preserve"> (harus plus test case)</t>
    </r>
  </si>
  <si>
    <r>
      <t>UAT</t>
    </r>
    <r>
      <rPr>
        <sz val="12"/>
        <color theme="1"/>
        <rFont val="Aptos Narrow (Body)"/>
      </rPr>
      <t>, ditutup setelah dapat approaval UAT</t>
    </r>
  </si>
  <si>
    <r>
      <t>FAT</t>
    </r>
    <r>
      <rPr>
        <sz val="12"/>
        <color theme="1"/>
        <rFont val="Aptos Narrow (Body)"/>
      </rPr>
      <t>--&gt; FAT ditutup setelah perbaikan inputan dari client saat sosialisasi</t>
    </r>
  </si>
  <si>
    <r>
      <rPr>
        <u/>
        <sz val="12"/>
        <color theme="1"/>
        <rFont val="Aptos Narrow (Body)"/>
      </rPr>
      <t>Coding</t>
    </r>
    <r>
      <rPr>
        <sz val="12"/>
        <color theme="1"/>
        <rFont val="Aptos Narrow"/>
        <family val="2"/>
        <scheme val="minor"/>
      </rPr>
      <t xml:space="preserve">,  sampai trial dan FAT coding </t>
    </r>
  </si>
  <si>
    <t>FAT Coding</t>
  </si>
  <si>
    <t>Save draft --&gt; Pekerjaan belum selesai, masih bisa ditambah, misalnya FAT sudah tapi belum sosialisasi untuk mendapatkan feedback</t>
  </si>
  <si>
    <t>Tahapan selesai --&gt; Pekerjaan sudah selesai, terkunci , lanjut ke tahapan berikutnya</t>
  </si>
  <si>
    <t>Status
(progress/ finish)</t>
  </si>
  <si>
    <t>Project Management</t>
  </si>
  <si>
    <t xml:space="preserve">Konsep
New Project </t>
  </si>
  <si>
    <t>Otomatis Numbering</t>
  </si>
  <si>
    <t>Simulasi
New project</t>
  </si>
  <si>
    <t>20 Desember 2026</t>
  </si>
  <si>
    <t>Input free number</t>
  </si>
  <si>
    <t>Formula total manhour bisnis analis</t>
  </si>
  <si>
    <t>Formula total manhour programmer</t>
  </si>
  <si>
    <t>otomatis Programmer</t>
  </si>
  <si>
    <t>Otomatis QA Program</t>
  </si>
  <si>
    <t xml:space="preserve">Formula total manhour </t>
  </si>
  <si>
    <t xml:space="preserve">Upload file </t>
  </si>
  <si>
    <t xml:space="preserve">Progress </t>
  </si>
  <si>
    <t>Konsep update</t>
  </si>
  <si>
    <t xml:space="preserve">tanggal </t>
  </si>
  <si>
    <t xml:space="preserve">Diskusi requirement dan konsep dengan client </t>
  </si>
  <si>
    <t>Aktifitas</t>
  </si>
  <si>
    <t>Foto hasil diskusi terlampir</t>
  </si>
  <si>
    <t>Input number</t>
  </si>
  <si>
    <t>20 Juli</t>
  </si>
  <si>
    <t>Pembuatan konsep dan approval Customer</t>
  </si>
  <si>
    <t>Finish</t>
  </si>
  <si>
    <t>View/ Input pekerjaan</t>
  </si>
  <si>
    <t>View</t>
  </si>
  <si>
    <t>Simulasi
tahap 3 , project finish</t>
  </si>
  <si>
    <t>Simulasi tahap 2 setelah save draft , lanjut ke input pekerjaan dan finish</t>
  </si>
  <si>
    <t>Simulasi tahap 1 
Input pekerjaan</t>
  </si>
  <si>
    <t xml:space="preserve">Tolong buatkan modul Project Management untuk pengembangan program 
        1. Pilih "New project" , 
        2. Di modul New project : Input header : Select client , Project , target date selesai, bisnis analis, programmer, PM, QA program, Target manhour PM, dlll 
        3.Select "Create Modul" ---&gt; akan muncul table fix berisi nama modul tahapan PIC dan Plan. Catatan Tahapan akan menjadi fix table  
        4. Input nama modul, manhour dan select date pada setiap tahapan. Jika ingin tambah modul, select "create modul" lagi.   
        5. Setelah itu save , dan akan masuk ke table list project --&gt; Setelah di save manhour plan dan due date tidak bisa diedit
        6. Tabelnya untuk melihat semua project yang sedang jalan, misalnya client ORI, Project Pengembangan Program. </t>
  </si>
  <si>
    <t>Status Modul</t>
  </si>
  <si>
    <t>Simulasi
  modul  finish 1</t>
  </si>
  <si>
    <t>Simulasi
  modul  finish 2</t>
  </si>
  <si>
    <t>Development program lanjutan, mengisi aktual pengerjaan 
1. PIC yang bekerja, memilih project yang akan di jalankan, misalnya memilih Client ORI, Project Pengembangan Program --&gt; Pilih Update
2. Muncul detil project , Note : detil project ada tambahan table untuk informasi aktual manhour, aktual finish date, status tahapan (finish/ progress) dan action "input pekerjaan" untuk megisi kegiatan yang dilakukan 
3. Pilih "input pekerjaan" untuk mengisi pekerjaan yang dilakukan 
4. Input pekerjaan dan upload dokumen, setelah itu "save draft 
5. Data aktual manhour tercatat di detil project 
6. Input pekerjaan 
7. Isi pekerjaan, upload dokumen 
8. karena pekerjaan sudah selesai, kemudian select "tahapan selesai"
9, Setelah tahapan selesai status progress menjadi finish dan tombol input pekerjaan menjadi hilang, tidak bisa diupdate lagi
10. Ketika modul sudah selesai pilih modul finish, maka kolom modul finish bertambah dan status pada modul berubah menjadi finish</t>
  </si>
  <si>
    <t>Select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</si>
</sst>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2"/>
      <color theme="1"/>
      <name val="Aptos Narrow"/>
      <family val="2"/>
      <scheme val="minor"/>
    </font>
    <font>
      <u/>
      <sz val="12"/>
      <color theme="1"/>
      <name val="Aptos Narrow (Body)"/>
    </font>
    <font>
      <sz val="12"/>
      <color theme="1"/>
      <name val="Aptos Narrow (Body)"/>
    </font>
    <font>
      <sz val="10"/>
      <color rgb="FF000000"/>
      <name val="Tahoma"/>
      <family val="2"/>
    </font>
    <font>
      <b/>
      <sz val="10"/>
      <color rgb="FF000000"/>
      <name val="Tahoma"/>
      <family val="2"/>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7">
    <xf numFmtId="0" fontId="0" fillId="0" borderId="0" xfId="0"/>
    <xf numFmtId="0" fontId="0" fillId="0" borderId="0" xfId="0" applyAlignment="1">
      <alignment vertical="top"/>
    </xf>
    <xf numFmtId="0" fontId="0" fillId="0" borderId="1" xfId="0" applyBorder="1" applyAlignment="1">
      <alignment horizontal="center"/>
    </xf>
    <xf numFmtId="0" fontId="0" fillId="0" borderId="1" xfId="0" applyBorder="1" applyAlignment="1">
      <alignment vertical="top"/>
    </xf>
    <xf numFmtId="0" fontId="0" fillId="0" borderId="1" xfId="0" applyBorder="1"/>
    <xf numFmtId="0" fontId="0" fillId="0" borderId="1" xfId="0" applyBorder="1" applyAlignment="1">
      <alignment horizontal="center" vertical="top"/>
    </xf>
    <xf numFmtId="0" fontId="0" fillId="0" borderId="1" xfId="0" applyBorder="1" applyAlignment="1">
      <alignment vertical="top" wrapText="1"/>
    </xf>
    <xf numFmtId="0" fontId="0" fillId="2" borderId="1" xfId="0" applyFill="1" applyBorder="1" applyAlignment="1">
      <alignment horizontal="center" vertical="top" wrapText="1"/>
    </xf>
    <xf numFmtId="0" fontId="0" fillId="4" borderId="1" xfId="0" applyFill="1" applyBorder="1"/>
    <xf numFmtId="0" fontId="0" fillId="0" borderId="1" xfId="0" applyBorder="1" applyAlignment="1">
      <alignment wrapText="1"/>
    </xf>
    <xf numFmtId="0" fontId="0" fillId="3" borderId="1" xfId="0" applyFill="1" applyBorder="1" applyAlignment="1">
      <alignment horizontal="center" vertical="top" wrapText="1"/>
    </xf>
    <xf numFmtId="0" fontId="0" fillId="0" borderId="0" xfId="0" applyAlignment="1">
      <alignment vertical="center"/>
    </xf>
    <xf numFmtId="0" fontId="0" fillId="0" borderId="1" xfId="0" applyBorder="1" applyAlignment="1">
      <alignment vertical="center"/>
    </xf>
    <xf numFmtId="0" fontId="0" fillId="2" borderId="1" xfId="0" applyFill="1" applyBorder="1" applyAlignment="1">
      <alignment horizontal="center" vertical="top"/>
    </xf>
    <xf numFmtId="0" fontId="0" fillId="0" borderId="0" xfId="0" applyAlignment="1">
      <alignment horizontal="left"/>
    </xf>
    <xf numFmtId="0" fontId="0" fillId="0" borderId="1" xfId="0" applyBorder="1" applyAlignment="1">
      <alignment vertical="center" wrapText="1"/>
    </xf>
    <xf numFmtId="0" fontId="0" fillId="0" borderId="0" xfId="0" applyAlignment="1">
      <alignment horizontal="center"/>
    </xf>
    <xf numFmtId="15" fontId="0" fillId="0" borderId="1" xfId="0" applyNumberFormat="1" applyBorder="1" applyAlignment="1">
      <alignment vertical="top"/>
    </xf>
    <xf numFmtId="0" fontId="2" fillId="0" borderId="1" xfId="0" applyFont="1" applyBorder="1" applyAlignment="1">
      <alignment vertical="center" wrapText="1"/>
    </xf>
    <xf numFmtId="0" fontId="0" fillId="0" borderId="1" xfId="0" applyBorder="1" applyAlignment="1">
      <alignment horizontal="center" vertical="top" wrapText="1"/>
    </xf>
    <xf numFmtId="0" fontId="0" fillId="0" borderId="5" xfId="0" applyBorder="1"/>
    <xf numFmtId="0" fontId="0" fillId="0" borderId="0" xfId="0" applyAlignment="1">
      <alignment vertical="top" wrapText="1"/>
    </xf>
    <xf numFmtId="0" fontId="0" fillId="0" borderId="0" xfId="0" applyAlignment="1">
      <alignment horizontal="center" vertical="top" wrapText="1"/>
    </xf>
    <xf numFmtId="0" fontId="0" fillId="4" borderId="1" xfId="0" applyFill="1" applyBorder="1" applyAlignment="1">
      <alignment vertical="center"/>
    </xf>
    <xf numFmtId="0" fontId="0" fillId="2" borderId="1" xfId="0" applyFill="1"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horizontal="center"/>
    </xf>
    <xf numFmtId="0" fontId="0" fillId="3" borderId="1" xfId="0" applyFill="1" applyBorder="1" applyAlignment="1">
      <alignment horizontal="center"/>
    </xf>
    <xf numFmtId="15" fontId="0" fillId="0" borderId="0" xfId="0" applyNumberFormat="1" applyAlignment="1">
      <alignment vertical="top" wrapText="1"/>
    </xf>
    <xf numFmtId="9" fontId="0" fillId="0" borderId="0" xfId="1" applyFont="1" applyFill="1" applyBorder="1" applyAlignment="1">
      <alignment horizontal="center" vertical="top" wrapText="1"/>
    </xf>
    <xf numFmtId="0" fontId="0" fillId="0" borderId="5" xfId="0" applyBorder="1" applyAlignment="1">
      <alignment vertical="center"/>
    </xf>
    <xf numFmtId="0" fontId="0" fillId="0" borderId="0" xfId="0" applyAlignment="1">
      <alignment horizontal="left" vertical="top" wrapText="1"/>
    </xf>
    <xf numFmtId="0" fontId="0" fillId="0" borderId="1" xfId="0" applyBorder="1" applyAlignment="1">
      <alignment horizontal="center" vertical="center" wrapText="1"/>
    </xf>
    <xf numFmtId="0" fontId="0" fillId="0" borderId="0" xfId="0" applyAlignment="1">
      <alignment wrapText="1"/>
    </xf>
    <xf numFmtId="0" fontId="0" fillId="4" borderId="5" xfId="0" applyFill="1" applyBorder="1" applyAlignment="1">
      <alignment vertical="center"/>
    </xf>
    <xf numFmtId="0" fontId="0" fillId="5" borderId="1" xfId="0" applyFill="1" applyBorder="1" applyAlignment="1">
      <alignment vertical="top" wrapText="1"/>
    </xf>
    <xf numFmtId="0" fontId="0" fillId="6" borderId="1" xfId="0" applyFill="1" applyBorder="1" applyAlignment="1">
      <alignment horizontal="center" vertical="top"/>
    </xf>
    <xf numFmtId="0" fontId="0" fillId="6" borderId="1" xfId="0" applyFill="1" applyBorder="1"/>
    <xf numFmtId="15" fontId="0" fillId="0" borderId="1" xfId="0" applyNumberFormat="1" applyBorder="1" applyAlignment="1">
      <alignment horizontal="center" vertical="center" wrapText="1"/>
    </xf>
    <xf numFmtId="15" fontId="0" fillId="0" borderId="1" xfId="0" applyNumberFormat="1" applyBorder="1" applyAlignment="1">
      <alignment horizontal="center" vertical="top"/>
    </xf>
    <xf numFmtId="0" fontId="0" fillId="0" borderId="4"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xf>
    <xf numFmtId="0" fontId="0" fillId="0" borderId="4" xfId="0" applyBorder="1" applyAlignment="1">
      <alignment horizontal="center" vertical="center" wrapText="1"/>
    </xf>
    <xf numFmtId="0" fontId="0" fillId="0" borderId="1" xfId="0" applyBorder="1" applyAlignment="1">
      <alignment horizontal="left"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3" xfId="0" applyFill="1" applyBorder="1" applyAlignment="1">
      <alignment horizontal="center" vertical="center"/>
    </xf>
    <xf numFmtId="0" fontId="0" fillId="0" borderId="0" xfId="0" applyAlignment="1">
      <alignment horizontal="center" vertical="center"/>
    </xf>
    <xf numFmtId="0" fontId="0" fillId="2" borderId="1" xfId="0" applyFill="1" applyBorder="1" applyAlignment="1">
      <alignment vertical="top"/>
    </xf>
    <xf numFmtId="0" fontId="0" fillId="0" borderId="1" xfId="0" applyBorder="1" applyAlignment="1">
      <alignment horizontal="left"/>
    </xf>
    <xf numFmtId="0" fontId="0" fillId="0" borderId="1" xfId="0" applyBorder="1" applyAlignment="1">
      <alignment vertical="top"/>
    </xf>
    <xf numFmtId="0" fontId="0" fillId="0" borderId="1" xfId="0" applyBorder="1" applyAlignment="1">
      <alignment vertical="center"/>
    </xf>
    <xf numFmtId="0" fontId="0" fillId="2" borderId="1" xfId="0" applyFill="1" applyBorder="1" applyAlignment="1">
      <alignment horizontal="left"/>
    </xf>
    <xf numFmtId="0" fontId="0" fillId="0" borderId="0" xfId="0" applyAlignment="1">
      <alignment horizontal="left" vertical="top" wrapText="1"/>
    </xf>
    <xf numFmtId="0" fontId="0" fillId="0" borderId="0" xfId="0" applyAlignment="1">
      <alignment horizontal="left" vertical="center"/>
    </xf>
    <xf numFmtId="0" fontId="0" fillId="0" borderId="2" xfId="0" applyBorder="1" applyAlignment="1">
      <alignment horizontal="left" vertical="center"/>
    </xf>
    <xf numFmtId="0" fontId="0" fillId="0" borderId="0" xfId="0" applyAlignment="1">
      <alignment horizontal="left" vertical="top"/>
    </xf>
    <xf numFmtId="0" fontId="0" fillId="0" borderId="2" xfId="0" applyBorder="1" applyAlignment="1">
      <alignment horizontal="left" vertical="top"/>
    </xf>
    <xf numFmtId="0" fontId="0" fillId="0" borderId="5" xfId="0" applyBorder="1" applyAlignment="1">
      <alignment horizontal="center" vertical="center"/>
    </xf>
    <xf numFmtId="0" fontId="0" fillId="0" borderId="1" xfId="0" applyBorder="1" applyAlignment="1">
      <alignment horizontal="center" vertical="top" wrapText="1"/>
    </xf>
    <xf numFmtId="0" fontId="0" fillId="2" borderId="1" xfId="0" applyFill="1"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left" vertical="top"/>
    </xf>
  </cellXfs>
  <cellStyles count="2">
    <cellStyle name="Normal" xfId="0" builtinId="0"/>
    <cellStyle name="Persen"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1326443</xdr:colOff>
      <xdr:row>12</xdr:row>
      <xdr:rowOff>56445</xdr:rowOff>
    </xdr:from>
    <xdr:to>
      <xdr:col>11</xdr:col>
      <xdr:colOff>225777</xdr:colOff>
      <xdr:row>17</xdr:row>
      <xdr:rowOff>127000</xdr:rowOff>
    </xdr:to>
    <xdr:sp macro="" textlink="">
      <xdr:nvSpPr>
        <xdr:cNvPr id="23" name="Rectangle 22">
          <a:extLst>
            <a:ext uri="{FF2B5EF4-FFF2-40B4-BE49-F238E27FC236}">
              <a16:creationId xmlns:a16="http://schemas.microsoft.com/office/drawing/2014/main" id="{4D5D7363-E5A0-E944-801C-7444CD299EB4}"/>
            </a:ext>
          </a:extLst>
        </xdr:cNvPr>
        <xdr:cNvSpPr/>
      </xdr:nvSpPr>
      <xdr:spPr>
        <a:xfrm>
          <a:off x="1326443" y="4049889"/>
          <a:ext cx="15141223" cy="131233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243417</xdr:colOff>
      <xdr:row>11</xdr:row>
      <xdr:rowOff>31750</xdr:rowOff>
    </xdr:from>
    <xdr:to>
      <xdr:col>2</xdr:col>
      <xdr:colOff>1174750</xdr:colOff>
      <xdr:row>12</xdr:row>
      <xdr:rowOff>84667</xdr:rowOff>
    </xdr:to>
    <xdr:sp macro="" textlink="">
      <xdr:nvSpPr>
        <xdr:cNvPr id="2" name="Rectangle 1">
          <a:extLst>
            <a:ext uri="{FF2B5EF4-FFF2-40B4-BE49-F238E27FC236}">
              <a16:creationId xmlns:a16="http://schemas.microsoft.com/office/drawing/2014/main" id="{864560E1-F9CF-B643-AD1F-2332AE740F18}"/>
            </a:ext>
          </a:extLst>
        </xdr:cNvPr>
        <xdr:cNvSpPr/>
      </xdr:nvSpPr>
      <xdr:spPr>
        <a:xfrm>
          <a:off x="2478617" y="3917950"/>
          <a:ext cx="931333" cy="256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project</a:t>
          </a:r>
          <a:r>
            <a:rPr lang="en-US" sz="1100" baseline="0"/>
            <a:t> </a:t>
          </a:r>
          <a:endParaRPr lang="en-US" sz="1100"/>
        </a:p>
      </xdr:txBody>
    </xdr:sp>
    <xdr:clientData/>
  </xdr:twoCellAnchor>
  <xdr:twoCellAnchor>
    <xdr:from>
      <xdr:col>1</xdr:col>
      <xdr:colOff>42333</xdr:colOff>
      <xdr:row>19</xdr:row>
      <xdr:rowOff>7054</xdr:rowOff>
    </xdr:from>
    <xdr:to>
      <xdr:col>2</xdr:col>
      <xdr:colOff>148166</xdr:colOff>
      <xdr:row>20</xdr:row>
      <xdr:rowOff>59971</xdr:rowOff>
    </xdr:to>
    <xdr:sp macro="" textlink="">
      <xdr:nvSpPr>
        <xdr:cNvPr id="3" name="Rectangle 2">
          <a:extLst>
            <a:ext uri="{FF2B5EF4-FFF2-40B4-BE49-F238E27FC236}">
              <a16:creationId xmlns:a16="http://schemas.microsoft.com/office/drawing/2014/main" id="{C2225531-9DD3-FD4A-9CE8-4CEFB5EF11BC}"/>
            </a:ext>
          </a:extLst>
        </xdr:cNvPr>
        <xdr:cNvSpPr/>
      </xdr:nvSpPr>
      <xdr:spPr>
        <a:xfrm>
          <a:off x="1453444" y="5637387"/>
          <a:ext cx="938389" cy="2504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project</a:t>
          </a:r>
          <a:r>
            <a:rPr lang="en-US" sz="1100" baseline="0"/>
            <a:t> </a:t>
          </a:r>
          <a:endParaRPr lang="en-US" sz="1100"/>
        </a:p>
      </xdr:txBody>
    </xdr:sp>
    <xdr:clientData/>
  </xdr:twoCellAnchor>
  <xdr:twoCellAnchor>
    <xdr:from>
      <xdr:col>1</xdr:col>
      <xdr:colOff>84666</xdr:colOff>
      <xdr:row>49</xdr:row>
      <xdr:rowOff>84667</xdr:rowOff>
    </xdr:from>
    <xdr:to>
      <xdr:col>2</xdr:col>
      <xdr:colOff>190499</xdr:colOff>
      <xdr:row>50</xdr:row>
      <xdr:rowOff>137584</xdr:rowOff>
    </xdr:to>
    <xdr:sp macro="" textlink="">
      <xdr:nvSpPr>
        <xdr:cNvPr id="4" name="Rectangle 3">
          <a:extLst>
            <a:ext uri="{FF2B5EF4-FFF2-40B4-BE49-F238E27FC236}">
              <a16:creationId xmlns:a16="http://schemas.microsoft.com/office/drawing/2014/main" id="{FE5CF9FD-437C-7746-AC99-DFAE5A73180A}"/>
            </a:ext>
          </a:extLst>
        </xdr:cNvPr>
        <xdr:cNvSpPr/>
      </xdr:nvSpPr>
      <xdr:spPr>
        <a:xfrm>
          <a:off x="1494366" y="15604067"/>
          <a:ext cx="931333" cy="256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project</a:t>
          </a:r>
          <a:r>
            <a:rPr lang="en-US" sz="1100" baseline="0"/>
            <a:t> </a:t>
          </a:r>
          <a:endParaRPr lang="en-US" sz="1100"/>
        </a:p>
      </xdr:txBody>
    </xdr:sp>
    <xdr:clientData/>
  </xdr:twoCellAnchor>
  <xdr:twoCellAnchor>
    <xdr:from>
      <xdr:col>1</xdr:col>
      <xdr:colOff>793750</xdr:colOff>
      <xdr:row>9</xdr:row>
      <xdr:rowOff>42332</xdr:rowOff>
    </xdr:from>
    <xdr:to>
      <xdr:col>2</xdr:col>
      <xdr:colOff>349251</xdr:colOff>
      <xdr:row>10</xdr:row>
      <xdr:rowOff>116416</xdr:rowOff>
    </xdr:to>
    <xdr:sp macro="" textlink="">
      <xdr:nvSpPr>
        <xdr:cNvPr id="14" name="Oval 13">
          <a:extLst>
            <a:ext uri="{FF2B5EF4-FFF2-40B4-BE49-F238E27FC236}">
              <a16:creationId xmlns:a16="http://schemas.microsoft.com/office/drawing/2014/main" id="{AB9F83CE-EAE9-9D48-BDEB-F88054C4A20B}"/>
            </a:ext>
          </a:extLst>
        </xdr:cNvPr>
        <xdr:cNvSpPr/>
      </xdr:nvSpPr>
      <xdr:spPr>
        <a:xfrm>
          <a:off x="2203450" y="3522132"/>
          <a:ext cx="381001" cy="27728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1</a:t>
          </a:r>
        </a:p>
      </xdr:txBody>
    </xdr:sp>
    <xdr:clientData/>
  </xdr:twoCellAnchor>
  <xdr:twoCellAnchor>
    <xdr:from>
      <xdr:col>1</xdr:col>
      <xdr:colOff>733778</xdr:colOff>
      <xdr:row>20</xdr:row>
      <xdr:rowOff>155223</xdr:rowOff>
    </xdr:from>
    <xdr:to>
      <xdr:col>8</xdr:col>
      <xdr:colOff>536223</xdr:colOff>
      <xdr:row>28</xdr:row>
      <xdr:rowOff>141111</xdr:rowOff>
    </xdr:to>
    <xdr:sp macro="" textlink="">
      <xdr:nvSpPr>
        <xdr:cNvPr id="15" name="Rectangle 14">
          <a:extLst>
            <a:ext uri="{FF2B5EF4-FFF2-40B4-BE49-F238E27FC236}">
              <a16:creationId xmlns:a16="http://schemas.microsoft.com/office/drawing/2014/main" id="{F1092A52-95AE-E0B4-805D-D3C818610831}"/>
            </a:ext>
          </a:extLst>
        </xdr:cNvPr>
        <xdr:cNvSpPr/>
      </xdr:nvSpPr>
      <xdr:spPr>
        <a:xfrm>
          <a:off x="2144889" y="5037667"/>
          <a:ext cx="9877778" cy="156633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213783</xdr:colOff>
      <xdr:row>20</xdr:row>
      <xdr:rowOff>8466</xdr:rowOff>
    </xdr:from>
    <xdr:to>
      <xdr:col>8</xdr:col>
      <xdr:colOff>601840</xdr:colOff>
      <xdr:row>21</xdr:row>
      <xdr:rowOff>82550</xdr:rowOff>
    </xdr:to>
    <xdr:sp macro="" textlink="">
      <xdr:nvSpPr>
        <xdr:cNvPr id="16" name="Oval 15">
          <a:extLst>
            <a:ext uri="{FF2B5EF4-FFF2-40B4-BE49-F238E27FC236}">
              <a16:creationId xmlns:a16="http://schemas.microsoft.com/office/drawing/2014/main" id="{377153A2-201A-7F4E-A442-1FEAD35B2558}"/>
            </a:ext>
          </a:extLst>
        </xdr:cNvPr>
        <xdr:cNvSpPr/>
      </xdr:nvSpPr>
      <xdr:spPr>
        <a:xfrm>
          <a:off x="11700227" y="4890910"/>
          <a:ext cx="388057" cy="27164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2</a:t>
          </a:r>
        </a:p>
      </xdr:txBody>
    </xdr:sp>
    <xdr:clientData/>
  </xdr:twoCellAnchor>
  <xdr:twoCellAnchor>
    <xdr:from>
      <xdr:col>1</xdr:col>
      <xdr:colOff>309033</xdr:colOff>
      <xdr:row>29</xdr:row>
      <xdr:rowOff>45155</xdr:rowOff>
    </xdr:from>
    <xdr:to>
      <xdr:col>2</xdr:col>
      <xdr:colOff>414866</xdr:colOff>
      <xdr:row>30</xdr:row>
      <xdr:rowOff>98071</xdr:rowOff>
    </xdr:to>
    <xdr:sp macro="" textlink="">
      <xdr:nvSpPr>
        <xdr:cNvPr id="17" name="Rectangle 16">
          <a:extLst>
            <a:ext uri="{FF2B5EF4-FFF2-40B4-BE49-F238E27FC236}">
              <a16:creationId xmlns:a16="http://schemas.microsoft.com/office/drawing/2014/main" id="{972C692E-8E7A-6B40-9E6B-4A6A9441FF58}"/>
            </a:ext>
          </a:extLst>
        </xdr:cNvPr>
        <xdr:cNvSpPr/>
      </xdr:nvSpPr>
      <xdr:spPr>
        <a:xfrm>
          <a:off x="1720144" y="6705599"/>
          <a:ext cx="938389" cy="2504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Create Modul </a:t>
          </a:r>
        </a:p>
      </xdr:txBody>
    </xdr:sp>
    <xdr:clientData/>
  </xdr:twoCellAnchor>
  <xdr:twoCellAnchor>
    <xdr:from>
      <xdr:col>2</xdr:col>
      <xdr:colOff>524226</xdr:colOff>
      <xdr:row>29</xdr:row>
      <xdr:rowOff>22577</xdr:rowOff>
    </xdr:from>
    <xdr:to>
      <xdr:col>2</xdr:col>
      <xdr:colOff>912283</xdr:colOff>
      <xdr:row>30</xdr:row>
      <xdr:rowOff>96661</xdr:rowOff>
    </xdr:to>
    <xdr:sp macro="" textlink="">
      <xdr:nvSpPr>
        <xdr:cNvPr id="18" name="Oval 17">
          <a:extLst>
            <a:ext uri="{FF2B5EF4-FFF2-40B4-BE49-F238E27FC236}">
              <a16:creationId xmlns:a16="http://schemas.microsoft.com/office/drawing/2014/main" id="{5DA90C0C-5460-B04E-836A-C2188099395F}"/>
            </a:ext>
          </a:extLst>
        </xdr:cNvPr>
        <xdr:cNvSpPr/>
      </xdr:nvSpPr>
      <xdr:spPr>
        <a:xfrm>
          <a:off x="2767893" y="7628466"/>
          <a:ext cx="388057" cy="27163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3</a:t>
          </a:r>
        </a:p>
      </xdr:txBody>
    </xdr:sp>
    <xdr:clientData/>
  </xdr:twoCellAnchor>
  <xdr:twoCellAnchor>
    <xdr:from>
      <xdr:col>0</xdr:col>
      <xdr:colOff>1340556</xdr:colOff>
      <xdr:row>30</xdr:row>
      <xdr:rowOff>141111</xdr:rowOff>
    </xdr:from>
    <xdr:to>
      <xdr:col>7</xdr:col>
      <xdr:colOff>451555</xdr:colOff>
      <xdr:row>45</xdr:row>
      <xdr:rowOff>126999</xdr:rowOff>
    </xdr:to>
    <xdr:sp macro="" textlink="">
      <xdr:nvSpPr>
        <xdr:cNvPr id="19" name="Rectangle 18">
          <a:extLst>
            <a:ext uri="{FF2B5EF4-FFF2-40B4-BE49-F238E27FC236}">
              <a16:creationId xmlns:a16="http://schemas.microsoft.com/office/drawing/2014/main" id="{D93FDD63-88D6-7648-83D0-7E57B7E0CC3E}"/>
            </a:ext>
          </a:extLst>
        </xdr:cNvPr>
        <xdr:cNvSpPr/>
      </xdr:nvSpPr>
      <xdr:spPr>
        <a:xfrm>
          <a:off x="1340556" y="7944555"/>
          <a:ext cx="9256888" cy="4713111"/>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140404</xdr:colOff>
      <xdr:row>30</xdr:row>
      <xdr:rowOff>47977</xdr:rowOff>
    </xdr:from>
    <xdr:to>
      <xdr:col>7</xdr:col>
      <xdr:colOff>528461</xdr:colOff>
      <xdr:row>31</xdr:row>
      <xdr:rowOff>122060</xdr:rowOff>
    </xdr:to>
    <xdr:sp macro="" textlink="">
      <xdr:nvSpPr>
        <xdr:cNvPr id="20" name="Oval 19">
          <a:extLst>
            <a:ext uri="{FF2B5EF4-FFF2-40B4-BE49-F238E27FC236}">
              <a16:creationId xmlns:a16="http://schemas.microsoft.com/office/drawing/2014/main" id="{33782A73-93E4-034F-9F1F-8B3F19DFBAB7}"/>
            </a:ext>
          </a:extLst>
        </xdr:cNvPr>
        <xdr:cNvSpPr/>
      </xdr:nvSpPr>
      <xdr:spPr>
        <a:xfrm>
          <a:off x="10286293" y="7851421"/>
          <a:ext cx="388057" cy="27163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4</a:t>
          </a:r>
        </a:p>
      </xdr:txBody>
    </xdr:sp>
    <xdr:clientData/>
  </xdr:twoCellAnchor>
  <xdr:twoCellAnchor>
    <xdr:from>
      <xdr:col>3</xdr:col>
      <xdr:colOff>1467555</xdr:colOff>
      <xdr:row>46</xdr:row>
      <xdr:rowOff>56444</xdr:rowOff>
    </xdr:from>
    <xdr:to>
      <xdr:col>4</xdr:col>
      <xdr:colOff>14111</xdr:colOff>
      <xdr:row>47</xdr:row>
      <xdr:rowOff>112889</xdr:rowOff>
    </xdr:to>
    <xdr:sp macro="" textlink="">
      <xdr:nvSpPr>
        <xdr:cNvPr id="21" name="Rectangle 20">
          <a:extLst>
            <a:ext uri="{FF2B5EF4-FFF2-40B4-BE49-F238E27FC236}">
              <a16:creationId xmlns:a16="http://schemas.microsoft.com/office/drawing/2014/main" id="{804C9219-B9D8-EB67-2FFC-1606296CCD12}"/>
            </a:ext>
          </a:extLst>
        </xdr:cNvPr>
        <xdr:cNvSpPr/>
      </xdr:nvSpPr>
      <xdr:spPr>
        <a:xfrm>
          <a:off x="5644444" y="12784666"/>
          <a:ext cx="747889" cy="2540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Save</a:t>
          </a:r>
        </a:p>
      </xdr:txBody>
    </xdr:sp>
    <xdr:clientData/>
  </xdr:twoCellAnchor>
  <xdr:twoCellAnchor>
    <xdr:from>
      <xdr:col>4</xdr:col>
      <xdr:colOff>109360</xdr:colOff>
      <xdr:row>45</xdr:row>
      <xdr:rowOff>158043</xdr:rowOff>
    </xdr:from>
    <xdr:to>
      <xdr:col>4</xdr:col>
      <xdr:colOff>497417</xdr:colOff>
      <xdr:row>47</xdr:row>
      <xdr:rowOff>34571</xdr:rowOff>
    </xdr:to>
    <xdr:sp macro="" textlink="">
      <xdr:nvSpPr>
        <xdr:cNvPr id="22" name="Oval 21">
          <a:extLst>
            <a:ext uri="{FF2B5EF4-FFF2-40B4-BE49-F238E27FC236}">
              <a16:creationId xmlns:a16="http://schemas.microsoft.com/office/drawing/2014/main" id="{A9969704-B152-F747-9783-1310519D3163}"/>
            </a:ext>
          </a:extLst>
        </xdr:cNvPr>
        <xdr:cNvSpPr/>
      </xdr:nvSpPr>
      <xdr:spPr>
        <a:xfrm>
          <a:off x="6487582" y="12688710"/>
          <a:ext cx="388057" cy="27163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5</a:t>
          </a:r>
        </a:p>
      </xdr:txBody>
    </xdr:sp>
    <xdr:clientData/>
  </xdr:twoCellAnchor>
  <xdr:twoCellAnchor>
    <xdr:from>
      <xdr:col>11</xdr:col>
      <xdr:colOff>44449</xdr:colOff>
      <xdr:row>11</xdr:row>
      <xdr:rowOff>64910</xdr:rowOff>
    </xdr:from>
    <xdr:to>
      <xdr:col>11</xdr:col>
      <xdr:colOff>432506</xdr:colOff>
      <xdr:row>12</xdr:row>
      <xdr:rowOff>138994</xdr:rowOff>
    </xdr:to>
    <xdr:sp macro="" textlink="">
      <xdr:nvSpPr>
        <xdr:cNvPr id="24" name="Oval 23">
          <a:extLst>
            <a:ext uri="{FF2B5EF4-FFF2-40B4-BE49-F238E27FC236}">
              <a16:creationId xmlns:a16="http://schemas.microsoft.com/office/drawing/2014/main" id="{ECFB556A-61AD-BA45-90FE-2991C2CA4FD1}"/>
            </a:ext>
          </a:extLst>
        </xdr:cNvPr>
        <xdr:cNvSpPr/>
      </xdr:nvSpPr>
      <xdr:spPr>
        <a:xfrm>
          <a:off x="16286338" y="3860799"/>
          <a:ext cx="388057" cy="27163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6</a:t>
          </a:r>
        </a:p>
      </xdr:txBody>
    </xdr:sp>
    <xdr:clientData/>
  </xdr:twoCellAnchor>
  <xdr:twoCellAnchor>
    <xdr:from>
      <xdr:col>7</xdr:col>
      <xdr:colOff>28223</xdr:colOff>
      <xdr:row>43</xdr:row>
      <xdr:rowOff>239888</xdr:rowOff>
    </xdr:from>
    <xdr:to>
      <xdr:col>8</xdr:col>
      <xdr:colOff>536222</xdr:colOff>
      <xdr:row>46</xdr:row>
      <xdr:rowOff>42332</xdr:rowOff>
    </xdr:to>
    <xdr:sp macro="" textlink="">
      <xdr:nvSpPr>
        <xdr:cNvPr id="25" name="Left Arrow Callout 24">
          <a:extLst>
            <a:ext uri="{FF2B5EF4-FFF2-40B4-BE49-F238E27FC236}">
              <a16:creationId xmlns:a16="http://schemas.microsoft.com/office/drawing/2014/main" id="{CD075DDA-DE1C-1BEC-7D6B-652F160B68C3}"/>
            </a:ext>
          </a:extLst>
        </xdr:cNvPr>
        <xdr:cNvSpPr/>
      </xdr:nvSpPr>
      <xdr:spPr>
        <a:xfrm>
          <a:off x="10174112" y="12826999"/>
          <a:ext cx="2187221" cy="649111"/>
        </a:xfrm>
        <a:prstGeom prst="leftArrowCallout">
          <a:avLst>
            <a:gd name="adj1" fmla="val 25000"/>
            <a:gd name="adj2" fmla="val 25000"/>
            <a:gd name="adj3" fmla="val 25000"/>
            <a:gd name="adj4" fmla="val 79384"/>
          </a:avLst>
        </a:prstGeom>
        <a:solidFill>
          <a:schemeClr val="accent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Plan di sini tidak usah ada date karena ini untuk</a:t>
          </a:r>
          <a:r>
            <a:rPr lang="en-US" sz="1100" baseline="0">
              <a:solidFill>
                <a:sysClr val="windowText" lastClr="000000"/>
              </a:solidFill>
            </a:rPr>
            <a:t> isi kegiatan bebas apa saja</a:t>
          </a:r>
          <a:endParaRPr lang="en-US" sz="1100">
            <a:solidFill>
              <a:sysClr val="windowText" lastClr="000000"/>
            </a:solidFill>
          </a:endParaRPr>
        </a:p>
      </xdr:txBody>
    </xdr:sp>
    <xdr:clientData/>
  </xdr:twoCellAnchor>
  <xdr:twoCellAnchor>
    <xdr:from>
      <xdr:col>8</xdr:col>
      <xdr:colOff>620890</xdr:colOff>
      <xdr:row>8</xdr:row>
      <xdr:rowOff>0</xdr:rowOff>
    </xdr:from>
    <xdr:to>
      <xdr:col>9</xdr:col>
      <xdr:colOff>14111</xdr:colOff>
      <xdr:row>13</xdr:row>
      <xdr:rowOff>211666</xdr:rowOff>
    </xdr:to>
    <xdr:sp macro="" textlink="">
      <xdr:nvSpPr>
        <xdr:cNvPr id="13" name="Down Arrow Callout 12">
          <a:extLst>
            <a:ext uri="{FF2B5EF4-FFF2-40B4-BE49-F238E27FC236}">
              <a16:creationId xmlns:a16="http://schemas.microsoft.com/office/drawing/2014/main" id="{90B0C869-8FDF-35FE-4704-52C864199D31}"/>
            </a:ext>
          </a:extLst>
        </xdr:cNvPr>
        <xdr:cNvSpPr/>
      </xdr:nvSpPr>
      <xdr:spPr>
        <a:xfrm>
          <a:off x="12446001" y="3203222"/>
          <a:ext cx="987777" cy="1199444"/>
        </a:xfrm>
        <a:prstGeom prst="downArrow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Jumlah modul yang dibuat</a:t>
          </a:r>
        </a:p>
      </xdr:txBody>
    </xdr:sp>
    <xdr:clientData/>
  </xdr:twoCellAnchor>
  <xdr:twoCellAnchor>
    <xdr:from>
      <xdr:col>9</xdr:col>
      <xdr:colOff>646290</xdr:colOff>
      <xdr:row>7</xdr:row>
      <xdr:rowOff>166511</xdr:rowOff>
    </xdr:from>
    <xdr:to>
      <xdr:col>10</xdr:col>
      <xdr:colOff>39512</xdr:colOff>
      <xdr:row>13</xdr:row>
      <xdr:rowOff>180622</xdr:rowOff>
    </xdr:to>
    <xdr:sp macro="" textlink="">
      <xdr:nvSpPr>
        <xdr:cNvPr id="26" name="Down Arrow Callout 25">
          <a:extLst>
            <a:ext uri="{FF2B5EF4-FFF2-40B4-BE49-F238E27FC236}">
              <a16:creationId xmlns:a16="http://schemas.microsoft.com/office/drawing/2014/main" id="{ADA388A1-09A1-C44B-A995-FA9E538D448A}"/>
            </a:ext>
          </a:extLst>
        </xdr:cNvPr>
        <xdr:cNvSpPr/>
      </xdr:nvSpPr>
      <xdr:spPr>
        <a:xfrm>
          <a:off x="14065957" y="3172178"/>
          <a:ext cx="987777" cy="1199444"/>
        </a:xfrm>
        <a:prstGeom prst="downArrow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Jumlah modul yang  sudah selesai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243417</xdr:colOff>
      <xdr:row>5</xdr:row>
      <xdr:rowOff>31750</xdr:rowOff>
    </xdr:from>
    <xdr:to>
      <xdr:col>2</xdr:col>
      <xdr:colOff>1174750</xdr:colOff>
      <xdr:row>6</xdr:row>
      <xdr:rowOff>84667</xdr:rowOff>
    </xdr:to>
    <xdr:sp macro="" textlink="">
      <xdr:nvSpPr>
        <xdr:cNvPr id="3" name="Rectangle 2">
          <a:extLst>
            <a:ext uri="{FF2B5EF4-FFF2-40B4-BE49-F238E27FC236}">
              <a16:creationId xmlns:a16="http://schemas.microsoft.com/office/drawing/2014/main" id="{A4A77B6D-1E86-53E0-0BC9-B28498700733}"/>
            </a:ext>
          </a:extLst>
        </xdr:cNvPr>
        <xdr:cNvSpPr/>
      </xdr:nvSpPr>
      <xdr:spPr>
        <a:xfrm>
          <a:off x="1894417" y="635000"/>
          <a:ext cx="931333" cy="254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project</a:t>
          </a:r>
          <a:r>
            <a:rPr lang="en-US" sz="1100" baseline="0"/>
            <a:t> </a:t>
          </a:r>
          <a:endParaRPr lang="en-US" sz="1100"/>
        </a:p>
      </xdr:txBody>
    </xdr:sp>
    <xdr:clientData/>
  </xdr:twoCellAnchor>
  <xdr:twoCellAnchor>
    <xdr:from>
      <xdr:col>10</xdr:col>
      <xdr:colOff>409222</xdr:colOff>
      <xdr:row>18</xdr:row>
      <xdr:rowOff>14110</xdr:rowOff>
    </xdr:from>
    <xdr:to>
      <xdr:col>10</xdr:col>
      <xdr:colOff>1439335</xdr:colOff>
      <xdr:row>18</xdr:row>
      <xdr:rowOff>183445</xdr:rowOff>
    </xdr:to>
    <xdr:sp macro="" textlink="">
      <xdr:nvSpPr>
        <xdr:cNvPr id="10" name="Rounded Rectangle 9">
          <a:extLst>
            <a:ext uri="{FF2B5EF4-FFF2-40B4-BE49-F238E27FC236}">
              <a16:creationId xmlns:a16="http://schemas.microsoft.com/office/drawing/2014/main" id="{039E1BD5-C2E1-2D32-8928-F3D9C69F399A}"/>
            </a:ext>
          </a:extLst>
        </xdr:cNvPr>
        <xdr:cNvSpPr/>
      </xdr:nvSpPr>
      <xdr:spPr>
        <a:xfrm>
          <a:off x="15155333" y="5912554"/>
          <a:ext cx="1030113" cy="16933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2</xdr:col>
      <xdr:colOff>310444</xdr:colOff>
      <xdr:row>19</xdr:row>
      <xdr:rowOff>14111</xdr:rowOff>
    </xdr:from>
    <xdr:to>
      <xdr:col>10</xdr:col>
      <xdr:colOff>451556</xdr:colOff>
      <xdr:row>34</xdr:row>
      <xdr:rowOff>98778</xdr:rowOff>
    </xdr:to>
    <xdr:cxnSp macro="">
      <xdr:nvCxnSpPr>
        <xdr:cNvPr id="12" name="Straight Arrow Connector 11">
          <a:extLst>
            <a:ext uri="{FF2B5EF4-FFF2-40B4-BE49-F238E27FC236}">
              <a16:creationId xmlns:a16="http://schemas.microsoft.com/office/drawing/2014/main" id="{09B81B7E-7E65-AA15-24B3-35A501B2E1D2}"/>
            </a:ext>
          </a:extLst>
        </xdr:cNvPr>
        <xdr:cNvCxnSpPr/>
      </xdr:nvCxnSpPr>
      <xdr:spPr>
        <a:xfrm flipH="1">
          <a:off x="2554111" y="6124222"/>
          <a:ext cx="12643556" cy="348544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359833</xdr:colOff>
      <xdr:row>7</xdr:row>
      <xdr:rowOff>169334</xdr:rowOff>
    </xdr:from>
    <xdr:to>
      <xdr:col>10</xdr:col>
      <xdr:colOff>899583</xdr:colOff>
      <xdr:row>8</xdr:row>
      <xdr:rowOff>243417</xdr:rowOff>
    </xdr:to>
    <xdr:sp macro="" textlink="">
      <xdr:nvSpPr>
        <xdr:cNvPr id="8" name="Rectangle 7">
          <a:extLst>
            <a:ext uri="{FF2B5EF4-FFF2-40B4-BE49-F238E27FC236}">
              <a16:creationId xmlns:a16="http://schemas.microsoft.com/office/drawing/2014/main" id="{BBBEEDB9-7DDA-C3E3-C99A-74247FF14678}"/>
            </a:ext>
          </a:extLst>
        </xdr:cNvPr>
        <xdr:cNvSpPr/>
      </xdr:nvSpPr>
      <xdr:spPr>
        <a:xfrm>
          <a:off x="14986000" y="4434417"/>
          <a:ext cx="539750" cy="2857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550333</xdr:colOff>
      <xdr:row>6</xdr:row>
      <xdr:rowOff>127000</xdr:rowOff>
    </xdr:from>
    <xdr:to>
      <xdr:col>10</xdr:col>
      <xdr:colOff>825500</xdr:colOff>
      <xdr:row>7</xdr:row>
      <xdr:rowOff>190500</xdr:rowOff>
    </xdr:to>
    <xdr:sp macro="" textlink="">
      <xdr:nvSpPr>
        <xdr:cNvPr id="9" name="Oval 8">
          <a:extLst>
            <a:ext uri="{FF2B5EF4-FFF2-40B4-BE49-F238E27FC236}">
              <a16:creationId xmlns:a16="http://schemas.microsoft.com/office/drawing/2014/main" id="{45B535B2-31E9-AA64-FB8B-AB771C3EFABC}"/>
            </a:ext>
          </a:extLst>
        </xdr:cNvPr>
        <xdr:cNvSpPr/>
      </xdr:nvSpPr>
      <xdr:spPr>
        <a:xfrm>
          <a:off x="15176500" y="4191000"/>
          <a:ext cx="275167" cy="264583"/>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11</a:t>
          </a:r>
        </a:p>
      </xdr:txBody>
    </xdr:sp>
    <xdr:clientData/>
  </xdr:twoCellAnchor>
  <xdr:twoCellAnchor>
    <xdr:from>
      <xdr:col>6</xdr:col>
      <xdr:colOff>1217082</xdr:colOff>
      <xdr:row>15</xdr:row>
      <xdr:rowOff>10583</xdr:rowOff>
    </xdr:from>
    <xdr:to>
      <xdr:col>12</xdr:col>
      <xdr:colOff>126999</xdr:colOff>
      <xdr:row>30</xdr:row>
      <xdr:rowOff>74084</xdr:rowOff>
    </xdr:to>
    <xdr:sp macro="" textlink="">
      <xdr:nvSpPr>
        <xdr:cNvPr id="13" name="Rectangle 12">
          <a:extLst>
            <a:ext uri="{FF2B5EF4-FFF2-40B4-BE49-F238E27FC236}">
              <a16:creationId xmlns:a16="http://schemas.microsoft.com/office/drawing/2014/main" id="{C1E36B49-3302-C3FB-12F5-019AF713BDFB}"/>
            </a:ext>
          </a:extLst>
        </xdr:cNvPr>
        <xdr:cNvSpPr/>
      </xdr:nvSpPr>
      <xdr:spPr>
        <a:xfrm>
          <a:off x="10177638" y="5316361"/>
          <a:ext cx="7658805" cy="407105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1379362</xdr:colOff>
      <xdr:row>14</xdr:row>
      <xdr:rowOff>28222</xdr:rowOff>
    </xdr:from>
    <xdr:to>
      <xdr:col>12</xdr:col>
      <xdr:colOff>257529</xdr:colOff>
      <xdr:row>15</xdr:row>
      <xdr:rowOff>91721</xdr:rowOff>
    </xdr:to>
    <xdr:sp macro="" textlink="">
      <xdr:nvSpPr>
        <xdr:cNvPr id="2" name="Oval 1">
          <a:extLst>
            <a:ext uri="{FF2B5EF4-FFF2-40B4-BE49-F238E27FC236}">
              <a16:creationId xmlns:a16="http://schemas.microsoft.com/office/drawing/2014/main" id="{D75C1621-B7F0-7747-B81A-0FECA050528A}"/>
            </a:ext>
          </a:extLst>
        </xdr:cNvPr>
        <xdr:cNvSpPr/>
      </xdr:nvSpPr>
      <xdr:spPr>
        <a:xfrm>
          <a:off x="17691806" y="5136444"/>
          <a:ext cx="275167" cy="26105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10</xdr:col>
      <xdr:colOff>1263651</xdr:colOff>
      <xdr:row>17</xdr:row>
      <xdr:rowOff>35983</xdr:rowOff>
    </xdr:from>
    <xdr:to>
      <xdr:col>10</xdr:col>
      <xdr:colOff>1538818</xdr:colOff>
      <xdr:row>18</xdr:row>
      <xdr:rowOff>99482</xdr:rowOff>
    </xdr:to>
    <xdr:sp macro="" textlink="">
      <xdr:nvSpPr>
        <xdr:cNvPr id="19" name="Oval 18">
          <a:extLst>
            <a:ext uri="{FF2B5EF4-FFF2-40B4-BE49-F238E27FC236}">
              <a16:creationId xmlns:a16="http://schemas.microsoft.com/office/drawing/2014/main" id="{CB71EC3A-EF72-4B4F-818D-4D65923ECE99}"/>
            </a:ext>
          </a:extLst>
        </xdr:cNvPr>
        <xdr:cNvSpPr/>
      </xdr:nvSpPr>
      <xdr:spPr>
        <a:xfrm>
          <a:off x="15889818" y="5348816"/>
          <a:ext cx="275167" cy="26458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twoCellAnchor>
    <xdr:from>
      <xdr:col>1</xdr:col>
      <xdr:colOff>719667</xdr:colOff>
      <xdr:row>35</xdr:row>
      <xdr:rowOff>74083</xdr:rowOff>
    </xdr:from>
    <xdr:to>
      <xdr:col>10</xdr:col>
      <xdr:colOff>158750</xdr:colOff>
      <xdr:row>44</xdr:row>
      <xdr:rowOff>116417</xdr:rowOff>
    </xdr:to>
    <xdr:sp macro="" textlink="">
      <xdr:nvSpPr>
        <xdr:cNvPr id="20" name="Rectangle 19">
          <a:extLst>
            <a:ext uri="{FF2B5EF4-FFF2-40B4-BE49-F238E27FC236}">
              <a16:creationId xmlns:a16="http://schemas.microsoft.com/office/drawing/2014/main" id="{30F15529-FD27-3FD9-DBD1-E3F4127E3338}"/>
            </a:ext>
          </a:extLst>
        </xdr:cNvPr>
        <xdr:cNvSpPr/>
      </xdr:nvSpPr>
      <xdr:spPr>
        <a:xfrm>
          <a:off x="2132542" y="9583208"/>
          <a:ext cx="12662958" cy="212195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29634</xdr:colOff>
      <xdr:row>34</xdr:row>
      <xdr:rowOff>124883</xdr:rowOff>
    </xdr:from>
    <xdr:to>
      <xdr:col>10</xdr:col>
      <xdr:colOff>304801</xdr:colOff>
      <xdr:row>35</xdr:row>
      <xdr:rowOff>188382</xdr:rowOff>
    </xdr:to>
    <xdr:sp macro="" textlink="">
      <xdr:nvSpPr>
        <xdr:cNvPr id="25" name="Oval 24">
          <a:extLst>
            <a:ext uri="{FF2B5EF4-FFF2-40B4-BE49-F238E27FC236}">
              <a16:creationId xmlns:a16="http://schemas.microsoft.com/office/drawing/2014/main" id="{066FAD4F-4605-5F4D-9934-EF4A855568BB}"/>
            </a:ext>
          </a:extLst>
        </xdr:cNvPr>
        <xdr:cNvSpPr/>
      </xdr:nvSpPr>
      <xdr:spPr>
        <a:xfrm>
          <a:off x="14666384" y="9427633"/>
          <a:ext cx="275167" cy="26987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a:t>
          </a:r>
        </a:p>
      </xdr:txBody>
    </xdr:sp>
    <xdr:clientData/>
  </xdr:twoCellAnchor>
  <xdr:twoCellAnchor>
    <xdr:from>
      <xdr:col>10</xdr:col>
      <xdr:colOff>465667</xdr:colOff>
      <xdr:row>53</xdr:row>
      <xdr:rowOff>14111</xdr:rowOff>
    </xdr:from>
    <xdr:to>
      <xdr:col>10</xdr:col>
      <xdr:colOff>1439335</xdr:colOff>
      <xdr:row>53</xdr:row>
      <xdr:rowOff>197557</xdr:rowOff>
    </xdr:to>
    <xdr:sp macro="" textlink="">
      <xdr:nvSpPr>
        <xdr:cNvPr id="26" name="Rounded Rectangle 25">
          <a:extLst>
            <a:ext uri="{FF2B5EF4-FFF2-40B4-BE49-F238E27FC236}">
              <a16:creationId xmlns:a16="http://schemas.microsoft.com/office/drawing/2014/main" id="{9BA82E17-5904-5D4A-B345-2866F1235BDB}"/>
            </a:ext>
          </a:extLst>
        </xdr:cNvPr>
        <xdr:cNvSpPr/>
      </xdr:nvSpPr>
      <xdr:spPr>
        <a:xfrm>
          <a:off x="15211778" y="13518444"/>
          <a:ext cx="973668" cy="1834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2</xdr:col>
      <xdr:colOff>310444</xdr:colOff>
      <xdr:row>53</xdr:row>
      <xdr:rowOff>105834</xdr:rowOff>
    </xdr:from>
    <xdr:to>
      <xdr:col>10</xdr:col>
      <xdr:colOff>465667</xdr:colOff>
      <xdr:row>69</xdr:row>
      <xdr:rowOff>98778</xdr:rowOff>
    </xdr:to>
    <xdr:cxnSp macro="">
      <xdr:nvCxnSpPr>
        <xdr:cNvPr id="27" name="Straight Arrow Connector 26">
          <a:extLst>
            <a:ext uri="{FF2B5EF4-FFF2-40B4-BE49-F238E27FC236}">
              <a16:creationId xmlns:a16="http://schemas.microsoft.com/office/drawing/2014/main" id="{46B0160D-E5F6-9C49-A499-ACCDB52BFDB8}"/>
            </a:ext>
          </a:extLst>
        </xdr:cNvPr>
        <xdr:cNvCxnSpPr>
          <a:stCxn id="26" idx="1"/>
        </xdr:cNvCxnSpPr>
      </xdr:nvCxnSpPr>
      <xdr:spPr>
        <a:xfrm flipH="1">
          <a:off x="2554111" y="13610167"/>
          <a:ext cx="12657667" cy="36053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1217083</xdr:colOff>
      <xdr:row>50</xdr:row>
      <xdr:rowOff>10583</xdr:rowOff>
    </xdr:from>
    <xdr:to>
      <xdr:col>12</xdr:col>
      <xdr:colOff>211667</xdr:colOff>
      <xdr:row>65</xdr:row>
      <xdr:rowOff>74084</xdr:rowOff>
    </xdr:to>
    <xdr:sp macro="" textlink="">
      <xdr:nvSpPr>
        <xdr:cNvPr id="32" name="Rectangle 31">
          <a:extLst>
            <a:ext uri="{FF2B5EF4-FFF2-40B4-BE49-F238E27FC236}">
              <a16:creationId xmlns:a16="http://schemas.microsoft.com/office/drawing/2014/main" id="{1C740EBE-C24E-CE4B-B093-94DD33080692}"/>
            </a:ext>
          </a:extLst>
        </xdr:cNvPr>
        <xdr:cNvSpPr/>
      </xdr:nvSpPr>
      <xdr:spPr>
        <a:xfrm>
          <a:off x="10177639" y="12922250"/>
          <a:ext cx="7743472" cy="407105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67028</xdr:colOff>
      <xdr:row>49</xdr:row>
      <xdr:rowOff>56444</xdr:rowOff>
    </xdr:from>
    <xdr:to>
      <xdr:col>12</xdr:col>
      <xdr:colOff>342195</xdr:colOff>
      <xdr:row>50</xdr:row>
      <xdr:rowOff>119943</xdr:rowOff>
    </xdr:to>
    <xdr:sp macro="" textlink="">
      <xdr:nvSpPr>
        <xdr:cNvPr id="33" name="Oval 32">
          <a:extLst>
            <a:ext uri="{FF2B5EF4-FFF2-40B4-BE49-F238E27FC236}">
              <a16:creationId xmlns:a16="http://schemas.microsoft.com/office/drawing/2014/main" id="{4CF2B3E9-87A1-CD4D-894E-4DFA7A9B3EED}"/>
            </a:ext>
          </a:extLst>
        </xdr:cNvPr>
        <xdr:cNvSpPr/>
      </xdr:nvSpPr>
      <xdr:spPr>
        <a:xfrm>
          <a:off x="17776472" y="12770555"/>
          <a:ext cx="275167" cy="26105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1</xdr:col>
      <xdr:colOff>719667</xdr:colOff>
      <xdr:row>70</xdr:row>
      <xdr:rowOff>74083</xdr:rowOff>
    </xdr:from>
    <xdr:to>
      <xdr:col>10</xdr:col>
      <xdr:colOff>222250</xdr:colOff>
      <xdr:row>79</xdr:row>
      <xdr:rowOff>116417</xdr:rowOff>
    </xdr:to>
    <xdr:sp macro="" textlink="">
      <xdr:nvSpPr>
        <xdr:cNvPr id="35" name="Rectangle 34">
          <a:extLst>
            <a:ext uri="{FF2B5EF4-FFF2-40B4-BE49-F238E27FC236}">
              <a16:creationId xmlns:a16="http://schemas.microsoft.com/office/drawing/2014/main" id="{695F6212-1962-084D-BF16-D7BDA305583C}"/>
            </a:ext>
          </a:extLst>
        </xdr:cNvPr>
        <xdr:cNvSpPr/>
      </xdr:nvSpPr>
      <xdr:spPr>
        <a:xfrm>
          <a:off x="2132542" y="17425458"/>
          <a:ext cx="12726458" cy="212195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366889</xdr:colOff>
      <xdr:row>88</xdr:row>
      <xdr:rowOff>14110</xdr:rowOff>
    </xdr:from>
    <xdr:to>
      <xdr:col>10</xdr:col>
      <xdr:colOff>1439335</xdr:colOff>
      <xdr:row>89</xdr:row>
      <xdr:rowOff>0</xdr:rowOff>
    </xdr:to>
    <xdr:sp macro="" textlink="">
      <xdr:nvSpPr>
        <xdr:cNvPr id="37" name="Rounded Rectangle 36">
          <a:extLst>
            <a:ext uri="{FF2B5EF4-FFF2-40B4-BE49-F238E27FC236}">
              <a16:creationId xmlns:a16="http://schemas.microsoft.com/office/drawing/2014/main" id="{7DB71B41-5524-D040-914E-8B0E4AF287E5}"/>
            </a:ext>
          </a:extLst>
        </xdr:cNvPr>
        <xdr:cNvSpPr/>
      </xdr:nvSpPr>
      <xdr:spPr>
        <a:xfrm>
          <a:off x="15113000" y="21124332"/>
          <a:ext cx="1072446" cy="19755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2</xdr:col>
      <xdr:colOff>310444</xdr:colOff>
      <xdr:row>88</xdr:row>
      <xdr:rowOff>183445</xdr:rowOff>
    </xdr:from>
    <xdr:to>
      <xdr:col>10</xdr:col>
      <xdr:colOff>479778</xdr:colOff>
      <xdr:row>104</xdr:row>
      <xdr:rowOff>98778</xdr:rowOff>
    </xdr:to>
    <xdr:cxnSp macro="">
      <xdr:nvCxnSpPr>
        <xdr:cNvPr id="38" name="Straight Arrow Connector 37">
          <a:extLst>
            <a:ext uri="{FF2B5EF4-FFF2-40B4-BE49-F238E27FC236}">
              <a16:creationId xmlns:a16="http://schemas.microsoft.com/office/drawing/2014/main" id="{E4173C12-245D-0743-AED7-32B6B085DF4C}"/>
            </a:ext>
          </a:extLst>
        </xdr:cNvPr>
        <xdr:cNvCxnSpPr/>
      </xdr:nvCxnSpPr>
      <xdr:spPr>
        <a:xfrm flipH="1">
          <a:off x="2554111" y="21293667"/>
          <a:ext cx="12671778" cy="352777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718157</xdr:colOff>
      <xdr:row>84</xdr:row>
      <xdr:rowOff>20157</xdr:rowOff>
    </xdr:from>
    <xdr:to>
      <xdr:col>7</xdr:col>
      <xdr:colOff>993324</xdr:colOff>
      <xdr:row>85</xdr:row>
      <xdr:rowOff>83657</xdr:rowOff>
    </xdr:to>
    <xdr:sp macro="" textlink="">
      <xdr:nvSpPr>
        <xdr:cNvPr id="44" name="Oval 43">
          <a:extLst>
            <a:ext uri="{FF2B5EF4-FFF2-40B4-BE49-F238E27FC236}">
              <a16:creationId xmlns:a16="http://schemas.microsoft.com/office/drawing/2014/main" id="{745C7A86-3897-A448-BD41-1D7945C0F435}"/>
            </a:ext>
          </a:extLst>
        </xdr:cNvPr>
        <xdr:cNvSpPr/>
      </xdr:nvSpPr>
      <xdr:spPr>
        <a:xfrm>
          <a:off x="10934601" y="19902713"/>
          <a:ext cx="275167" cy="26105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a:t>
          </a:r>
        </a:p>
      </xdr:txBody>
    </xdr:sp>
    <xdr:clientData/>
  </xdr:twoCellAnchor>
  <xdr:twoCellAnchor>
    <xdr:from>
      <xdr:col>10</xdr:col>
      <xdr:colOff>1263651</xdr:colOff>
      <xdr:row>87</xdr:row>
      <xdr:rowOff>35983</xdr:rowOff>
    </xdr:from>
    <xdr:to>
      <xdr:col>10</xdr:col>
      <xdr:colOff>1538818</xdr:colOff>
      <xdr:row>88</xdr:row>
      <xdr:rowOff>99482</xdr:rowOff>
    </xdr:to>
    <xdr:sp macro="" textlink="">
      <xdr:nvSpPr>
        <xdr:cNvPr id="45" name="Oval 44">
          <a:extLst>
            <a:ext uri="{FF2B5EF4-FFF2-40B4-BE49-F238E27FC236}">
              <a16:creationId xmlns:a16="http://schemas.microsoft.com/office/drawing/2014/main" id="{2F7DA9BC-721F-D84A-911D-EC275B02BC69}"/>
            </a:ext>
          </a:extLst>
        </xdr:cNvPr>
        <xdr:cNvSpPr/>
      </xdr:nvSpPr>
      <xdr:spPr>
        <a:xfrm>
          <a:off x="15995651" y="13026269"/>
          <a:ext cx="275167" cy="26307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6</a:t>
          </a:r>
        </a:p>
      </xdr:txBody>
    </xdr:sp>
    <xdr:clientData/>
  </xdr:twoCellAnchor>
  <xdr:twoCellAnchor>
    <xdr:from>
      <xdr:col>1</xdr:col>
      <xdr:colOff>719667</xdr:colOff>
      <xdr:row>105</xdr:row>
      <xdr:rowOff>74083</xdr:rowOff>
    </xdr:from>
    <xdr:to>
      <xdr:col>10</xdr:col>
      <xdr:colOff>222250</xdr:colOff>
      <xdr:row>115</xdr:row>
      <xdr:rowOff>116417</xdr:rowOff>
    </xdr:to>
    <xdr:sp macro="" textlink="">
      <xdr:nvSpPr>
        <xdr:cNvPr id="46" name="Rectangle 45">
          <a:extLst>
            <a:ext uri="{FF2B5EF4-FFF2-40B4-BE49-F238E27FC236}">
              <a16:creationId xmlns:a16="http://schemas.microsoft.com/office/drawing/2014/main" id="{F9066B25-1F4C-6B41-9D8D-C1CF7DB2F5DF}"/>
            </a:ext>
          </a:extLst>
        </xdr:cNvPr>
        <xdr:cNvSpPr/>
      </xdr:nvSpPr>
      <xdr:spPr>
        <a:xfrm>
          <a:off x="2134810" y="17128369"/>
          <a:ext cx="12819440" cy="2074334"/>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93134</xdr:colOff>
      <xdr:row>104</xdr:row>
      <xdr:rowOff>109008</xdr:rowOff>
    </xdr:from>
    <xdr:to>
      <xdr:col>10</xdr:col>
      <xdr:colOff>368301</xdr:colOff>
      <xdr:row>105</xdr:row>
      <xdr:rowOff>172507</xdr:rowOff>
    </xdr:to>
    <xdr:sp macro="" textlink="">
      <xdr:nvSpPr>
        <xdr:cNvPr id="47" name="Oval 46">
          <a:extLst>
            <a:ext uri="{FF2B5EF4-FFF2-40B4-BE49-F238E27FC236}">
              <a16:creationId xmlns:a16="http://schemas.microsoft.com/office/drawing/2014/main" id="{FC94211A-B593-3E4F-B202-E4E96A4AE166}"/>
            </a:ext>
          </a:extLst>
        </xdr:cNvPr>
        <xdr:cNvSpPr/>
      </xdr:nvSpPr>
      <xdr:spPr>
        <a:xfrm>
          <a:off x="14839245" y="24831675"/>
          <a:ext cx="275167" cy="26105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a:t>
          </a:r>
        </a:p>
      </xdr:txBody>
    </xdr:sp>
    <xdr:clientData/>
  </xdr:twoCellAnchor>
  <xdr:twoCellAnchor>
    <xdr:from>
      <xdr:col>7</xdr:col>
      <xdr:colOff>235857</xdr:colOff>
      <xdr:row>87</xdr:row>
      <xdr:rowOff>145143</xdr:rowOff>
    </xdr:from>
    <xdr:to>
      <xdr:col>7</xdr:col>
      <xdr:colOff>1251857</xdr:colOff>
      <xdr:row>89</xdr:row>
      <xdr:rowOff>0</xdr:rowOff>
    </xdr:to>
    <xdr:sp macro="" textlink="">
      <xdr:nvSpPr>
        <xdr:cNvPr id="48" name="Rectangle 47">
          <a:extLst>
            <a:ext uri="{FF2B5EF4-FFF2-40B4-BE49-F238E27FC236}">
              <a16:creationId xmlns:a16="http://schemas.microsoft.com/office/drawing/2014/main" id="{D4058A19-4CF9-AEC7-C5BE-9E3903A23AEC}"/>
            </a:ext>
          </a:extLst>
        </xdr:cNvPr>
        <xdr:cNvSpPr/>
      </xdr:nvSpPr>
      <xdr:spPr>
        <a:xfrm>
          <a:off x="10432143" y="20828000"/>
          <a:ext cx="1016000" cy="27214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159254</xdr:colOff>
      <xdr:row>73</xdr:row>
      <xdr:rowOff>-1</xdr:rowOff>
    </xdr:from>
    <xdr:to>
      <xdr:col>7</xdr:col>
      <xdr:colOff>1175254</xdr:colOff>
      <xdr:row>73</xdr:row>
      <xdr:rowOff>264078</xdr:rowOff>
    </xdr:to>
    <xdr:sp macro="" textlink="">
      <xdr:nvSpPr>
        <xdr:cNvPr id="50" name="Rectangle 49">
          <a:extLst>
            <a:ext uri="{FF2B5EF4-FFF2-40B4-BE49-F238E27FC236}">
              <a16:creationId xmlns:a16="http://schemas.microsoft.com/office/drawing/2014/main" id="{B66C6B66-2005-A542-A43D-8369173E8650}"/>
            </a:ext>
          </a:extLst>
        </xdr:cNvPr>
        <xdr:cNvSpPr/>
      </xdr:nvSpPr>
      <xdr:spPr>
        <a:xfrm>
          <a:off x="10375698" y="17469555"/>
          <a:ext cx="1016000" cy="26407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973667</xdr:colOff>
      <xdr:row>73</xdr:row>
      <xdr:rowOff>254000</xdr:rowOff>
    </xdr:from>
    <xdr:to>
      <xdr:col>7</xdr:col>
      <xdr:colOff>987778</xdr:colOff>
      <xdr:row>87</xdr:row>
      <xdr:rowOff>127000</xdr:rowOff>
    </xdr:to>
    <xdr:cxnSp macro="">
      <xdr:nvCxnSpPr>
        <xdr:cNvPr id="52" name="Straight Arrow Connector 51">
          <a:extLst>
            <a:ext uri="{FF2B5EF4-FFF2-40B4-BE49-F238E27FC236}">
              <a16:creationId xmlns:a16="http://schemas.microsoft.com/office/drawing/2014/main" id="{B5F7F589-9D4B-B366-13DB-903CCBE63F31}"/>
            </a:ext>
          </a:extLst>
        </xdr:cNvPr>
        <xdr:cNvCxnSpPr/>
      </xdr:nvCxnSpPr>
      <xdr:spPr>
        <a:xfrm>
          <a:off x="11190111" y="17723556"/>
          <a:ext cx="14111" cy="2878666"/>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70555</xdr:colOff>
      <xdr:row>113</xdr:row>
      <xdr:rowOff>112889</xdr:rowOff>
    </xdr:from>
    <xdr:to>
      <xdr:col>6</xdr:col>
      <xdr:colOff>345722</xdr:colOff>
      <xdr:row>114</xdr:row>
      <xdr:rowOff>176388</xdr:rowOff>
    </xdr:to>
    <xdr:sp macro="" textlink="">
      <xdr:nvSpPr>
        <xdr:cNvPr id="55" name="Oval 54">
          <a:extLst>
            <a:ext uri="{FF2B5EF4-FFF2-40B4-BE49-F238E27FC236}">
              <a16:creationId xmlns:a16="http://schemas.microsoft.com/office/drawing/2014/main" id="{13C932FA-416C-2645-B9A8-D21D4D0BDD64}"/>
            </a:ext>
          </a:extLst>
        </xdr:cNvPr>
        <xdr:cNvSpPr/>
      </xdr:nvSpPr>
      <xdr:spPr>
        <a:xfrm>
          <a:off x="9031111" y="26853445"/>
          <a:ext cx="275167" cy="26105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7</xdr:col>
      <xdr:colOff>1</xdr:colOff>
      <xdr:row>124</xdr:row>
      <xdr:rowOff>31750</xdr:rowOff>
    </xdr:from>
    <xdr:to>
      <xdr:col>11</xdr:col>
      <xdr:colOff>174625</xdr:colOff>
      <xdr:row>125</xdr:row>
      <xdr:rowOff>31750</xdr:rowOff>
    </xdr:to>
    <xdr:sp macro="" textlink="">
      <xdr:nvSpPr>
        <xdr:cNvPr id="61" name="Rectangle 60">
          <a:extLst>
            <a:ext uri="{FF2B5EF4-FFF2-40B4-BE49-F238E27FC236}">
              <a16:creationId xmlns:a16="http://schemas.microsoft.com/office/drawing/2014/main" id="{5CF7886A-D1DE-8248-99FD-C69451AD963B}"/>
            </a:ext>
          </a:extLst>
        </xdr:cNvPr>
        <xdr:cNvSpPr/>
      </xdr:nvSpPr>
      <xdr:spPr>
        <a:xfrm>
          <a:off x="10216445" y="28945417"/>
          <a:ext cx="6270624" cy="21166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169333</xdr:colOff>
      <xdr:row>122</xdr:row>
      <xdr:rowOff>190499</xdr:rowOff>
    </xdr:from>
    <xdr:to>
      <xdr:col>15</xdr:col>
      <xdr:colOff>183445</xdr:colOff>
      <xdr:row>126</xdr:row>
      <xdr:rowOff>63499</xdr:rowOff>
    </xdr:to>
    <xdr:sp macro="" textlink="">
      <xdr:nvSpPr>
        <xdr:cNvPr id="62" name="Left Arrow Callout 61">
          <a:extLst>
            <a:ext uri="{FF2B5EF4-FFF2-40B4-BE49-F238E27FC236}">
              <a16:creationId xmlns:a16="http://schemas.microsoft.com/office/drawing/2014/main" id="{CED91789-0ECB-E6D4-05ED-7CF8584B2EB5}"/>
            </a:ext>
          </a:extLst>
        </xdr:cNvPr>
        <xdr:cNvSpPr/>
      </xdr:nvSpPr>
      <xdr:spPr>
        <a:xfrm>
          <a:off x="16481777" y="28709055"/>
          <a:ext cx="4289779" cy="691444"/>
        </a:xfrm>
        <a:prstGeom prst="leftArrowCallout">
          <a:avLst>
            <a:gd name="adj1" fmla="val 25000"/>
            <a:gd name="adj2" fmla="val 25000"/>
            <a:gd name="adj3" fmla="val 25000"/>
            <a:gd name="adj4" fmla="val 6819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Data Manhour, aktual date, progress action terupdate.</a:t>
          </a:r>
          <a:r>
            <a:rPr lang="en-US" sz="1100" baseline="0">
              <a:solidFill>
                <a:sysClr val="windowText" lastClr="000000"/>
              </a:solidFill>
            </a:rPr>
            <a:t> Tombol inpit pekerjaan hilang karena sudah selesai</a:t>
          </a:r>
          <a:endParaRPr lang="en-US" sz="1100">
            <a:solidFill>
              <a:sysClr val="windowText" lastClr="000000"/>
            </a:solidFill>
          </a:endParaRPr>
        </a:p>
      </xdr:txBody>
    </xdr:sp>
    <xdr:clientData/>
  </xdr:twoCellAnchor>
  <xdr:twoCellAnchor>
    <xdr:from>
      <xdr:col>7</xdr:col>
      <xdr:colOff>296334</xdr:colOff>
      <xdr:row>107</xdr:row>
      <xdr:rowOff>183445</xdr:rowOff>
    </xdr:from>
    <xdr:to>
      <xdr:col>7</xdr:col>
      <xdr:colOff>1100667</xdr:colOff>
      <xdr:row>108</xdr:row>
      <xdr:rowOff>352778</xdr:rowOff>
    </xdr:to>
    <xdr:sp macro="" textlink="">
      <xdr:nvSpPr>
        <xdr:cNvPr id="63" name="Rectangle 62">
          <a:extLst>
            <a:ext uri="{FF2B5EF4-FFF2-40B4-BE49-F238E27FC236}">
              <a16:creationId xmlns:a16="http://schemas.microsoft.com/office/drawing/2014/main" id="{CA402A60-5F13-BD83-ECA9-944AF607B5E7}"/>
            </a:ext>
          </a:extLst>
        </xdr:cNvPr>
        <xdr:cNvSpPr/>
      </xdr:nvSpPr>
      <xdr:spPr>
        <a:xfrm>
          <a:off x="10512778" y="25498778"/>
          <a:ext cx="804333" cy="36688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646289</xdr:colOff>
      <xdr:row>111</xdr:row>
      <xdr:rowOff>180623</xdr:rowOff>
    </xdr:from>
    <xdr:to>
      <xdr:col>2</xdr:col>
      <xdr:colOff>1450622</xdr:colOff>
      <xdr:row>113</xdr:row>
      <xdr:rowOff>152400</xdr:rowOff>
    </xdr:to>
    <xdr:sp macro="" textlink="">
      <xdr:nvSpPr>
        <xdr:cNvPr id="65" name="Rectangle 64">
          <a:extLst>
            <a:ext uri="{FF2B5EF4-FFF2-40B4-BE49-F238E27FC236}">
              <a16:creationId xmlns:a16="http://schemas.microsoft.com/office/drawing/2014/main" id="{CE63A2BC-F882-CD48-AF32-F095586A49E4}"/>
            </a:ext>
          </a:extLst>
        </xdr:cNvPr>
        <xdr:cNvSpPr/>
      </xdr:nvSpPr>
      <xdr:spPr>
        <a:xfrm>
          <a:off x="2889956" y="26526067"/>
          <a:ext cx="804333" cy="36688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1391356</xdr:colOff>
      <xdr:row>113</xdr:row>
      <xdr:rowOff>121356</xdr:rowOff>
    </xdr:from>
    <xdr:to>
      <xdr:col>6</xdr:col>
      <xdr:colOff>42333</xdr:colOff>
      <xdr:row>115</xdr:row>
      <xdr:rowOff>127000</xdr:rowOff>
    </xdr:to>
    <xdr:sp macro="" textlink="">
      <xdr:nvSpPr>
        <xdr:cNvPr id="66" name="Rectangle 65">
          <a:extLst>
            <a:ext uri="{FF2B5EF4-FFF2-40B4-BE49-F238E27FC236}">
              <a16:creationId xmlns:a16="http://schemas.microsoft.com/office/drawing/2014/main" id="{06C0C039-E8C8-E14C-AE16-F1C11A2C2469}"/>
            </a:ext>
          </a:extLst>
        </xdr:cNvPr>
        <xdr:cNvSpPr/>
      </xdr:nvSpPr>
      <xdr:spPr>
        <a:xfrm>
          <a:off x="7769578" y="26861912"/>
          <a:ext cx="1233311" cy="40075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698501</xdr:colOff>
      <xdr:row>108</xdr:row>
      <xdr:rowOff>352778</xdr:rowOff>
    </xdr:from>
    <xdr:to>
      <xdr:col>7</xdr:col>
      <xdr:colOff>705556</xdr:colOff>
      <xdr:row>123</xdr:row>
      <xdr:rowOff>141111</xdr:rowOff>
    </xdr:to>
    <xdr:cxnSp macro="">
      <xdr:nvCxnSpPr>
        <xdr:cNvPr id="68" name="Straight Arrow Connector 67">
          <a:extLst>
            <a:ext uri="{FF2B5EF4-FFF2-40B4-BE49-F238E27FC236}">
              <a16:creationId xmlns:a16="http://schemas.microsoft.com/office/drawing/2014/main" id="{B012F8FF-5CBC-1F84-1D9F-087485393172}"/>
            </a:ext>
          </a:extLst>
        </xdr:cNvPr>
        <xdr:cNvCxnSpPr>
          <a:stCxn id="63" idx="2"/>
        </xdr:cNvCxnSpPr>
      </xdr:nvCxnSpPr>
      <xdr:spPr>
        <a:xfrm>
          <a:off x="10914945" y="25865667"/>
          <a:ext cx="7055" cy="29915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1425222</xdr:colOff>
      <xdr:row>113</xdr:row>
      <xdr:rowOff>141111</xdr:rowOff>
    </xdr:from>
    <xdr:to>
      <xdr:col>8</xdr:col>
      <xdr:colOff>536222</xdr:colOff>
      <xdr:row>124</xdr:row>
      <xdr:rowOff>84666</xdr:rowOff>
    </xdr:to>
    <xdr:cxnSp macro="">
      <xdr:nvCxnSpPr>
        <xdr:cNvPr id="70" name="Straight Arrow Connector 69">
          <a:extLst>
            <a:ext uri="{FF2B5EF4-FFF2-40B4-BE49-F238E27FC236}">
              <a16:creationId xmlns:a16="http://schemas.microsoft.com/office/drawing/2014/main" id="{3D813DC1-15B9-E676-49D8-1096F7966BD2}"/>
            </a:ext>
          </a:extLst>
        </xdr:cNvPr>
        <xdr:cNvCxnSpPr/>
      </xdr:nvCxnSpPr>
      <xdr:spPr>
        <a:xfrm>
          <a:off x="3668889" y="26881667"/>
          <a:ext cx="8424333" cy="21166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1058334</xdr:colOff>
      <xdr:row>115</xdr:row>
      <xdr:rowOff>14111</xdr:rowOff>
    </xdr:from>
    <xdr:to>
      <xdr:col>9</xdr:col>
      <xdr:colOff>465666</xdr:colOff>
      <xdr:row>124</xdr:row>
      <xdr:rowOff>84666</xdr:rowOff>
    </xdr:to>
    <xdr:cxnSp macro="">
      <xdr:nvCxnSpPr>
        <xdr:cNvPr id="73" name="Straight Arrow Connector 72">
          <a:extLst>
            <a:ext uri="{FF2B5EF4-FFF2-40B4-BE49-F238E27FC236}">
              <a16:creationId xmlns:a16="http://schemas.microsoft.com/office/drawing/2014/main" id="{2E4DF844-2DC3-C7E9-7421-47DECCC60CC7}"/>
            </a:ext>
          </a:extLst>
        </xdr:cNvPr>
        <xdr:cNvCxnSpPr/>
      </xdr:nvCxnSpPr>
      <xdr:spPr>
        <a:xfrm>
          <a:off x="8861778" y="27149778"/>
          <a:ext cx="4755444" cy="18485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1072445</xdr:colOff>
      <xdr:row>115</xdr:row>
      <xdr:rowOff>28222</xdr:rowOff>
    </xdr:from>
    <xdr:to>
      <xdr:col>10</xdr:col>
      <xdr:colOff>127000</xdr:colOff>
      <xdr:row>123</xdr:row>
      <xdr:rowOff>183445</xdr:rowOff>
    </xdr:to>
    <xdr:cxnSp macro="">
      <xdr:nvCxnSpPr>
        <xdr:cNvPr id="75" name="Straight Arrow Connector 74">
          <a:extLst>
            <a:ext uri="{FF2B5EF4-FFF2-40B4-BE49-F238E27FC236}">
              <a16:creationId xmlns:a16="http://schemas.microsoft.com/office/drawing/2014/main" id="{BF4DF480-47F3-2959-0859-9365EB5D8AF2}"/>
            </a:ext>
          </a:extLst>
        </xdr:cNvPr>
        <xdr:cNvCxnSpPr/>
      </xdr:nvCxnSpPr>
      <xdr:spPr>
        <a:xfrm>
          <a:off x="8875889" y="27163889"/>
          <a:ext cx="5997222" cy="173566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1140177</xdr:colOff>
      <xdr:row>121</xdr:row>
      <xdr:rowOff>81845</xdr:rowOff>
    </xdr:from>
    <xdr:to>
      <xdr:col>13</xdr:col>
      <xdr:colOff>201788</xdr:colOff>
      <xdr:row>122</xdr:row>
      <xdr:rowOff>145343</xdr:rowOff>
    </xdr:to>
    <xdr:sp macro="" textlink="">
      <xdr:nvSpPr>
        <xdr:cNvPr id="79" name="Oval 78">
          <a:extLst>
            <a:ext uri="{FF2B5EF4-FFF2-40B4-BE49-F238E27FC236}">
              <a16:creationId xmlns:a16="http://schemas.microsoft.com/office/drawing/2014/main" id="{F1ED258F-577D-404A-A06F-051A7D1E2AB0}"/>
            </a:ext>
          </a:extLst>
        </xdr:cNvPr>
        <xdr:cNvSpPr/>
      </xdr:nvSpPr>
      <xdr:spPr>
        <a:xfrm>
          <a:off x="18849621" y="28402845"/>
          <a:ext cx="275167" cy="26105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2</xdr:col>
      <xdr:colOff>243417</xdr:colOff>
      <xdr:row>142</xdr:row>
      <xdr:rowOff>31750</xdr:rowOff>
    </xdr:from>
    <xdr:to>
      <xdr:col>2</xdr:col>
      <xdr:colOff>1174750</xdr:colOff>
      <xdr:row>143</xdr:row>
      <xdr:rowOff>84667</xdr:rowOff>
    </xdr:to>
    <xdr:sp macro="" textlink="">
      <xdr:nvSpPr>
        <xdr:cNvPr id="107" name="Rectangle 106">
          <a:extLst>
            <a:ext uri="{FF2B5EF4-FFF2-40B4-BE49-F238E27FC236}">
              <a16:creationId xmlns:a16="http://schemas.microsoft.com/office/drawing/2014/main" id="{861B19BD-CDE9-1549-B7BD-578700C3FACE}"/>
            </a:ext>
          </a:extLst>
        </xdr:cNvPr>
        <xdr:cNvSpPr/>
      </xdr:nvSpPr>
      <xdr:spPr>
        <a:xfrm>
          <a:off x="2487084" y="3333750"/>
          <a:ext cx="931333" cy="2504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project</a:t>
          </a:r>
          <a:r>
            <a:rPr lang="en-US" sz="1100" baseline="0"/>
            <a:t> </a:t>
          </a:r>
          <a:endParaRPr lang="en-US" sz="1100"/>
        </a:p>
      </xdr:txBody>
    </xdr:sp>
    <xdr:clientData/>
  </xdr:twoCellAnchor>
  <xdr:twoCellAnchor>
    <xdr:from>
      <xdr:col>10</xdr:col>
      <xdr:colOff>359833</xdr:colOff>
      <xdr:row>144</xdr:row>
      <xdr:rowOff>169334</xdr:rowOff>
    </xdr:from>
    <xdr:to>
      <xdr:col>10</xdr:col>
      <xdr:colOff>899583</xdr:colOff>
      <xdr:row>145</xdr:row>
      <xdr:rowOff>243417</xdr:rowOff>
    </xdr:to>
    <xdr:sp macro="" textlink="">
      <xdr:nvSpPr>
        <xdr:cNvPr id="108" name="Rectangle 107">
          <a:extLst>
            <a:ext uri="{FF2B5EF4-FFF2-40B4-BE49-F238E27FC236}">
              <a16:creationId xmlns:a16="http://schemas.microsoft.com/office/drawing/2014/main" id="{05FF0C03-8FC3-E040-8C6F-89FAB7D9280D}"/>
            </a:ext>
          </a:extLst>
        </xdr:cNvPr>
        <xdr:cNvSpPr/>
      </xdr:nvSpPr>
      <xdr:spPr>
        <a:xfrm>
          <a:off x="15105944" y="3866445"/>
          <a:ext cx="539750" cy="2857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649111</xdr:colOff>
      <xdr:row>145</xdr:row>
      <xdr:rowOff>87842</xdr:rowOff>
    </xdr:from>
    <xdr:to>
      <xdr:col>10</xdr:col>
      <xdr:colOff>359833</xdr:colOff>
      <xdr:row>149</xdr:row>
      <xdr:rowOff>127000</xdr:rowOff>
    </xdr:to>
    <xdr:cxnSp macro="">
      <xdr:nvCxnSpPr>
        <xdr:cNvPr id="111" name="Straight Arrow Connector 110">
          <a:extLst>
            <a:ext uri="{FF2B5EF4-FFF2-40B4-BE49-F238E27FC236}">
              <a16:creationId xmlns:a16="http://schemas.microsoft.com/office/drawing/2014/main" id="{6ABFBB76-1DCC-BB93-9554-1DD34C051C71}"/>
            </a:ext>
          </a:extLst>
        </xdr:cNvPr>
        <xdr:cNvCxnSpPr>
          <a:stCxn id="108" idx="1"/>
        </xdr:cNvCxnSpPr>
      </xdr:nvCxnSpPr>
      <xdr:spPr>
        <a:xfrm flipH="1">
          <a:off x="2060222" y="35986509"/>
          <a:ext cx="13045722" cy="84349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243417</xdr:colOff>
      <xdr:row>171</xdr:row>
      <xdr:rowOff>31750</xdr:rowOff>
    </xdr:from>
    <xdr:to>
      <xdr:col>2</xdr:col>
      <xdr:colOff>1174750</xdr:colOff>
      <xdr:row>172</xdr:row>
      <xdr:rowOff>84667</xdr:rowOff>
    </xdr:to>
    <xdr:sp macro="" textlink="">
      <xdr:nvSpPr>
        <xdr:cNvPr id="113" name="Rectangle 112">
          <a:extLst>
            <a:ext uri="{FF2B5EF4-FFF2-40B4-BE49-F238E27FC236}">
              <a16:creationId xmlns:a16="http://schemas.microsoft.com/office/drawing/2014/main" id="{C093F1B6-0E5C-894D-8311-C55486AB3562}"/>
            </a:ext>
          </a:extLst>
        </xdr:cNvPr>
        <xdr:cNvSpPr/>
      </xdr:nvSpPr>
      <xdr:spPr>
        <a:xfrm>
          <a:off x="2487084" y="35323639"/>
          <a:ext cx="931333" cy="2504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project</a:t>
          </a:r>
          <a:r>
            <a:rPr lang="en-US" sz="1100" baseline="0"/>
            <a:t> </a:t>
          </a:r>
          <a:endParaRPr lang="en-US" sz="1100"/>
        </a:p>
      </xdr:txBody>
    </xdr:sp>
    <xdr:clientData/>
  </xdr:twoCellAnchor>
  <xdr:twoCellAnchor>
    <xdr:from>
      <xdr:col>9</xdr:col>
      <xdr:colOff>508000</xdr:colOff>
      <xdr:row>158</xdr:row>
      <xdr:rowOff>206375</xdr:rowOff>
    </xdr:from>
    <xdr:to>
      <xdr:col>11</xdr:col>
      <xdr:colOff>333375</xdr:colOff>
      <xdr:row>174</xdr:row>
      <xdr:rowOff>98778</xdr:rowOff>
    </xdr:to>
    <xdr:cxnSp macro="">
      <xdr:nvCxnSpPr>
        <xdr:cNvPr id="117" name="Straight Arrow Connector 116">
          <a:extLst>
            <a:ext uri="{FF2B5EF4-FFF2-40B4-BE49-F238E27FC236}">
              <a16:creationId xmlns:a16="http://schemas.microsoft.com/office/drawing/2014/main" id="{AD5D33B2-6031-A080-8DAD-C4CFF65445EB}"/>
            </a:ext>
          </a:extLst>
        </xdr:cNvPr>
        <xdr:cNvCxnSpPr/>
      </xdr:nvCxnSpPr>
      <xdr:spPr>
        <a:xfrm flipH="1">
          <a:off x="13636625" y="40624125"/>
          <a:ext cx="2968625" cy="351190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1290105</xdr:colOff>
      <xdr:row>157</xdr:row>
      <xdr:rowOff>432858</xdr:rowOff>
    </xdr:from>
    <xdr:to>
      <xdr:col>12</xdr:col>
      <xdr:colOff>460374</xdr:colOff>
      <xdr:row>158</xdr:row>
      <xdr:rowOff>155221</xdr:rowOff>
    </xdr:to>
    <xdr:sp macro="" textlink="">
      <xdr:nvSpPr>
        <xdr:cNvPr id="118" name="Oval 117">
          <a:extLst>
            <a:ext uri="{FF2B5EF4-FFF2-40B4-BE49-F238E27FC236}">
              <a16:creationId xmlns:a16="http://schemas.microsoft.com/office/drawing/2014/main" id="{7EB4ACBF-53E9-9A4C-9C6E-CA4C752FADDC}"/>
            </a:ext>
          </a:extLst>
        </xdr:cNvPr>
        <xdr:cNvSpPr/>
      </xdr:nvSpPr>
      <xdr:spPr>
        <a:xfrm>
          <a:off x="17561980" y="40199733"/>
          <a:ext cx="567269" cy="37323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9</xdr:col>
      <xdr:colOff>1538111</xdr:colOff>
      <xdr:row>173</xdr:row>
      <xdr:rowOff>183444</xdr:rowOff>
    </xdr:from>
    <xdr:to>
      <xdr:col>10</xdr:col>
      <xdr:colOff>423333</xdr:colOff>
      <xdr:row>175</xdr:row>
      <xdr:rowOff>56444</xdr:rowOff>
    </xdr:to>
    <xdr:sp macro="" textlink="">
      <xdr:nvSpPr>
        <xdr:cNvPr id="120" name="Rectangle 119">
          <a:extLst>
            <a:ext uri="{FF2B5EF4-FFF2-40B4-BE49-F238E27FC236}">
              <a16:creationId xmlns:a16="http://schemas.microsoft.com/office/drawing/2014/main" id="{2E128C50-AC60-B204-C94E-CC6814335683}"/>
            </a:ext>
          </a:extLst>
        </xdr:cNvPr>
        <xdr:cNvSpPr/>
      </xdr:nvSpPr>
      <xdr:spPr>
        <a:xfrm>
          <a:off x="14689667" y="42672000"/>
          <a:ext cx="479777" cy="29633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1301750</xdr:colOff>
      <xdr:row>179</xdr:row>
      <xdr:rowOff>111125</xdr:rowOff>
    </xdr:from>
    <xdr:to>
      <xdr:col>12</xdr:col>
      <xdr:colOff>365125</xdr:colOff>
      <xdr:row>194</xdr:row>
      <xdr:rowOff>127000</xdr:rowOff>
    </xdr:to>
    <xdr:sp macro="" textlink="">
      <xdr:nvSpPr>
        <xdr:cNvPr id="121" name="Rectangle 120">
          <a:extLst>
            <a:ext uri="{FF2B5EF4-FFF2-40B4-BE49-F238E27FC236}">
              <a16:creationId xmlns:a16="http://schemas.microsoft.com/office/drawing/2014/main" id="{B61EA147-430B-CB02-D335-8CBB046D2529}"/>
            </a:ext>
          </a:extLst>
        </xdr:cNvPr>
        <xdr:cNvSpPr/>
      </xdr:nvSpPr>
      <xdr:spPr>
        <a:xfrm>
          <a:off x="1301750" y="42611675"/>
          <a:ext cx="16741775" cy="37687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460375</xdr:colOff>
      <xdr:row>158</xdr:row>
      <xdr:rowOff>142875</xdr:rowOff>
    </xdr:from>
    <xdr:to>
      <xdr:col>11</xdr:col>
      <xdr:colOff>936625</xdr:colOff>
      <xdr:row>186</xdr:row>
      <xdr:rowOff>555625</xdr:rowOff>
    </xdr:to>
    <xdr:cxnSp macro="">
      <xdr:nvCxnSpPr>
        <xdr:cNvPr id="123" name="Straight Arrow Connector 122">
          <a:extLst>
            <a:ext uri="{FF2B5EF4-FFF2-40B4-BE49-F238E27FC236}">
              <a16:creationId xmlns:a16="http://schemas.microsoft.com/office/drawing/2014/main" id="{852E511E-DD9F-C915-10FA-C990501BA0C1}"/>
            </a:ext>
          </a:extLst>
        </xdr:cNvPr>
        <xdr:cNvCxnSpPr/>
      </xdr:nvCxnSpPr>
      <xdr:spPr>
        <a:xfrm flipH="1">
          <a:off x="16732250" y="40560625"/>
          <a:ext cx="476250" cy="67945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444500</xdr:colOff>
      <xdr:row>175</xdr:row>
      <xdr:rowOff>47625</xdr:rowOff>
    </xdr:from>
    <xdr:to>
      <xdr:col>9</xdr:col>
      <xdr:colOff>1524000</xdr:colOff>
      <xdr:row>178</xdr:row>
      <xdr:rowOff>95250</xdr:rowOff>
    </xdr:to>
    <xdr:cxnSp macro="">
      <xdr:nvCxnSpPr>
        <xdr:cNvPr id="125" name="Straight Arrow Connector 124">
          <a:extLst>
            <a:ext uri="{FF2B5EF4-FFF2-40B4-BE49-F238E27FC236}">
              <a16:creationId xmlns:a16="http://schemas.microsoft.com/office/drawing/2014/main" id="{CC95D812-9717-781F-DD16-7C57F71DD607}"/>
            </a:ext>
          </a:extLst>
        </xdr:cNvPr>
        <xdr:cNvCxnSpPr/>
      </xdr:nvCxnSpPr>
      <xdr:spPr>
        <a:xfrm flipH="1">
          <a:off x="1857375" y="44307125"/>
          <a:ext cx="12795250" cy="6667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1290105</xdr:colOff>
      <xdr:row>22</xdr:row>
      <xdr:rowOff>432858</xdr:rowOff>
    </xdr:from>
    <xdr:to>
      <xdr:col>12</xdr:col>
      <xdr:colOff>460374</xdr:colOff>
      <xdr:row>23</xdr:row>
      <xdr:rowOff>155221</xdr:rowOff>
    </xdr:to>
    <xdr:sp macro="" textlink="">
      <xdr:nvSpPr>
        <xdr:cNvPr id="130" name="Oval 129">
          <a:extLst>
            <a:ext uri="{FF2B5EF4-FFF2-40B4-BE49-F238E27FC236}">
              <a16:creationId xmlns:a16="http://schemas.microsoft.com/office/drawing/2014/main" id="{A8FDB4AA-3FB3-3749-AF87-7DAAF718C07C}"/>
            </a:ext>
          </a:extLst>
        </xdr:cNvPr>
        <xdr:cNvSpPr/>
      </xdr:nvSpPr>
      <xdr:spPr>
        <a:xfrm>
          <a:off x="17561980" y="40199733"/>
          <a:ext cx="567269" cy="37323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11</xdr:col>
      <xdr:colOff>1290105</xdr:colOff>
      <xdr:row>57</xdr:row>
      <xdr:rowOff>432858</xdr:rowOff>
    </xdr:from>
    <xdr:to>
      <xdr:col>12</xdr:col>
      <xdr:colOff>460374</xdr:colOff>
      <xdr:row>58</xdr:row>
      <xdr:rowOff>155221</xdr:rowOff>
    </xdr:to>
    <xdr:sp macro="" textlink="">
      <xdr:nvSpPr>
        <xdr:cNvPr id="131" name="Oval 130">
          <a:extLst>
            <a:ext uri="{FF2B5EF4-FFF2-40B4-BE49-F238E27FC236}">
              <a16:creationId xmlns:a16="http://schemas.microsoft.com/office/drawing/2014/main" id="{51FE56E8-84DF-964F-BA73-E5C10924C497}"/>
            </a:ext>
          </a:extLst>
        </xdr:cNvPr>
        <xdr:cNvSpPr/>
      </xdr:nvSpPr>
      <xdr:spPr>
        <a:xfrm>
          <a:off x="17561980" y="40199733"/>
          <a:ext cx="567269" cy="37323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11</xdr:col>
      <xdr:colOff>1290105</xdr:colOff>
      <xdr:row>92</xdr:row>
      <xdr:rowOff>432858</xdr:rowOff>
    </xdr:from>
    <xdr:to>
      <xdr:col>12</xdr:col>
      <xdr:colOff>460374</xdr:colOff>
      <xdr:row>93</xdr:row>
      <xdr:rowOff>155221</xdr:rowOff>
    </xdr:to>
    <xdr:sp macro="" textlink="">
      <xdr:nvSpPr>
        <xdr:cNvPr id="132" name="Oval 131">
          <a:extLst>
            <a:ext uri="{FF2B5EF4-FFF2-40B4-BE49-F238E27FC236}">
              <a16:creationId xmlns:a16="http://schemas.microsoft.com/office/drawing/2014/main" id="{F8B33885-24C4-3F41-B78D-176E59EF930E}"/>
            </a:ext>
          </a:extLst>
        </xdr:cNvPr>
        <xdr:cNvSpPr/>
      </xdr:nvSpPr>
      <xdr:spPr>
        <a:xfrm>
          <a:off x="17561980" y="40199733"/>
          <a:ext cx="567269" cy="37323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11</xdr:col>
      <xdr:colOff>1290105</xdr:colOff>
      <xdr:row>128</xdr:row>
      <xdr:rowOff>432858</xdr:rowOff>
    </xdr:from>
    <xdr:to>
      <xdr:col>12</xdr:col>
      <xdr:colOff>460374</xdr:colOff>
      <xdr:row>129</xdr:row>
      <xdr:rowOff>155221</xdr:rowOff>
    </xdr:to>
    <xdr:sp macro="" textlink="">
      <xdr:nvSpPr>
        <xdr:cNvPr id="133" name="Oval 132">
          <a:extLst>
            <a:ext uri="{FF2B5EF4-FFF2-40B4-BE49-F238E27FC236}">
              <a16:creationId xmlns:a16="http://schemas.microsoft.com/office/drawing/2014/main" id="{0EADAA2D-C1AA-444A-8DB8-45B135482E28}"/>
            </a:ext>
          </a:extLst>
        </xdr:cNvPr>
        <xdr:cNvSpPr/>
      </xdr:nvSpPr>
      <xdr:spPr>
        <a:xfrm>
          <a:off x="17561980" y="40199733"/>
          <a:ext cx="567269" cy="37323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2EB3-7D6A-B049-8251-E35970D5BB4D}">
  <dimension ref="A2:L73"/>
  <sheetViews>
    <sheetView zoomScale="90" zoomScaleNormal="90" workbookViewId="0">
      <selection activeCell="H24" sqref="H24"/>
    </sheetView>
  </sheetViews>
  <sheetFormatPr defaultColWidth="11.19921875" defaultRowHeight="15.6"/>
  <cols>
    <col min="1" max="1" width="18.5" customWidth="1"/>
    <col min="3" max="3" width="25.296875" customWidth="1"/>
    <col min="4" max="4" width="28.796875" customWidth="1"/>
    <col min="5" max="5" width="18.69921875" style="1" customWidth="1"/>
    <col min="6" max="6" width="14.19921875" style="1" customWidth="1"/>
    <col min="7" max="7" width="16.5" customWidth="1"/>
    <col min="8" max="8" width="22" customWidth="1"/>
    <col min="9" max="10" width="20.796875" customWidth="1"/>
    <col min="11" max="11" width="20.5" customWidth="1"/>
    <col min="12" max="12" width="18.296875" customWidth="1"/>
    <col min="13" max="13" width="16" customWidth="1"/>
  </cols>
  <sheetData>
    <row r="2" spans="1:11" ht="142.94999999999999" customHeight="1">
      <c r="B2" s="57" t="s">
        <v>101</v>
      </c>
      <c r="C2" s="57"/>
      <c r="D2" s="57"/>
      <c r="E2" s="57"/>
      <c r="F2" s="57"/>
      <c r="G2" s="57"/>
      <c r="H2" s="57"/>
      <c r="I2" s="57"/>
      <c r="J2" s="57"/>
    </row>
    <row r="10" spans="1:11">
      <c r="A10" t="s">
        <v>74</v>
      </c>
    </row>
    <row r="14" spans="1:11" s="1" customFormat="1">
      <c r="B14" s="5" t="s">
        <v>20</v>
      </c>
      <c r="C14" s="3" t="s">
        <v>21</v>
      </c>
      <c r="D14" s="3" t="s">
        <v>23</v>
      </c>
      <c r="E14" s="3" t="s">
        <v>29</v>
      </c>
      <c r="F14" s="6" t="s">
        <v>25</v>
      </c>
      <c r="G14" s="3" t="s">
        <v>8</v>
      </c>
      <c r="H14" s="3" t="s">
        <v>44</v>
      </c>
      <c r="I14" s="3" t="s">
        <v>46</v>
      </c>
      <c r="J14" s="3" t="s">
        <v>47</v>
      </c>
      <c r="K14" s="3" t="s">
        <v>45</v>
      </c>
    </row>
    <row r="15" spans="1:11" s="1" customFormat="1" ht="31.2">
      <c r="B15" s="5">
        <v>1</v>
      </c>
      <c r="C15" s="3" t="s">
        <v>31</v>
      </c>
      <c r="D15" s="3" t="s">
        <v>32</v>
      </c>
      <c r="E15" s="3" t="s">
        <v>35</v>
      </c>
      <c r="F15" s="6" t="s">
        <v>50</v>
      </c>
      <c r="G15" s="3" t="s">
        <v>34</v>
      </c>
      <c r="H15" s="3" t="s">
        <v>36</v>
      </c>
      <c r="I15" s="35" t="s">
        <v>48</v>
      </c>
      <c r="J15" s="35" t="s">
        <v>49</v>
      </c>
      <c r="K15" s="3" t="s">
        <v>60</v>
      </c>
    </row>
    <row r="16" spans="1:11">
      <c r="B16" s="4"/>
      <c r="C16" s="4"/>
      <c r="D16" s="4"/>
      <c r="E16" s="3"/>
      <c r="F16" s="3"/>
      <c r="G16" s="4"/>
      <c r="H16" s="4"/>
      <c r="I16" s="9"/>
      <c r="J16" s="9"/>
      <c r="K16" s="9"/>
    </row>
    <row r="17" spans="1:12">
      <c r="B17" s="4"/>
      <c r="C17" s="4"/>
      <c r="D17" s="4"/>
      <c r="E17" s="3"/>
      <c r="F17" s="3"/>
      <c r="G17" s="4"/>
      <c r="H17" s="4"/>
      <c r="I17" s="9"/>
      <c r="J17" s="9"/>
      <c r="K17" s="9"/>
    </row>
    <row r="20" spans="1:12" ht="16.05" customHeight="1">
      <c r="A20" s="46" t="s">
        <v>75</v>
      </c>
    </row>
    <row r="21" spans="1:12">
      <c r="A21" s="46"/>
    </row>
    <row r="22" spans="1:12">
      <c r="A22" s="46"/>
      <c r="C22" s="11" t="s">
        <v>21</v>
      </c>
      <c r="D22" s="23" t="s">
        <v>22</v>
      </c>
      <c r="F22" s="58" t="s">
        <v>42</v>
      </c>
      <c r="G22" s="59"/>
      <c r="H22" s="24" t="s">
        <v>79</v>
      </c>
    </row>
    <row r="23" spans="1:12">
      <c r="A23" s="46"/>
      <c r="C23" s="11" t="s">
        <v>23</v>
      </c>
      <c r="D23" s="23" t="s">
        <v>24</v>
      </c>
      <c r="F23" s="60" t="s">
        <v>43</v>
      </c>
      <c r="G23" s="61"/>
      <c r="H23" s="24" t="s">
        <v>79</v>
      </c>
    </row>
    <row r="24" spans="1:12" ht="31.2">
      <c r="A24" s="46"/>
      <c r="C24" s="11" t="s">
        <v>39</v>
      </c>
      <c r="D24" s="23" t="s">
        <v>18</v>
      </c>
      <c r="F24" s="60" t="s">
        <v>40</v>
      </c>
      <c r="G24" s="61"/>
      <c r="H24" s="25" t="s">
        <v>80</v>
      </c>
    </row>
    <row r="25" spans="1:12" ht="31.2">
      <c r="A25" s="46"/>
      <c r="C25" s="11" t="s">
        <v>25</v>
      </c>
      <c r="D25" s="23" t="s">
        <v>26</v>
      </c>
      <c r="F25" s="60" t="s">
        <v>41</v>
      </c>
      <c r="G25" s="61"/>
      <c r="H25" s="25" t="s">
        <v>81</v>
      </c>
    </row>
    <row r="26" spans="1:12">
      <c r="A26" s="46"/>
      <c r="C26" s="11" t="s">
        <v>8</v>
      </c>
      <c r="D26" s="23" t="s">
        <v>27</v>
      </c>
    </row>
    <row r="27" spans="1:12">
      <c r="A27" s="46"/>
      <c r="C27" s="11" t="s">
        <v>29</v>
      </c>
      <c r="D27" s="23" t="s">
        <v>30</v>
      </c>
    </row>
    <row r="28" spans="1:12">
      <c r="A28" s="46"/>
      <c r="C28" s="11" t="s">
        <v>28</v>
      </c>
      <c r="D28" s="23" t="s">
        <v>27</v>
      </c>
    </row>
    <row r="29" spans="1:12">
      <c r="A29" s="46"/>
    </row>
    <row r="30" spans="1:12">
      <c r="A30" s="46"/>
    </row>
    <row r="31" spans="1:12">
      <c r="A31" s="46"/>
    </row>
    <row r="32" spans="1:12" ht="33" customHeight="1">
      <c r="A32" s="46"/>
      <c r="B32" s="47" t="s">
        <v>20</v>
      </c>
      <c r="C32" s="45" t="s">
        <v>0</v>
      </c>
      <c r="D32" s="45" t="s">
        <v>2</v>
      </c>
      <c r="E32" s="45" t="s">
        <v>4</v>
      </c>
      <c r="F32" s="47" t="s">
        <v>5</v>
      </c>
      <c r="G32" s="62"/>
      <c r="J32" s="11"/>
      <c r="K32" s="21"/>
      <c r="L32" s="21"/>
    </row>
    <row r="33" spans="1:12">
      <c r="A33" s="46"/>
      <c r="B33" s="47"/>
      <c r="C33" s="45"/>
      <c r="D33" s="45"/>
      <c r="E33" s="45"/>
      <c r="F33" s="3" t="s">
        <v>15</v>
      </c>
      <c r="G33" s="20" t="s">
        <v>16</v>
      </c>
      <c r="J33" s="11"/>
      <c r="K33" s="16"/>
      <c r="L33" s="16"/>
    </row>
    <row r="34" spans="1:12" s="1" customFormat="1">
      <c r="A34" s="46"/>
      <c r="B34" s="63" t="s">
        <v>76</v>
      </c>
      <c r="C34" s="64" t="s">
        <v>1</v>
      </c>
      <c r="D34" s="15" t="s">
        <v>66</v>
      </c>
      <c r="E34" s="15" t="s">
        <v>7</v>
      </c>
      <c r="F34" s="24" t="s">
        <v>17</v>
      </c>
      <c r="G34" s="34" t="s">
        <v>18</v>
      </c>
      <c r="H34" s="21"/>
      <c r="I34" s="21"/>
      <c r="J34" s="22"/>
      <c r="K34" s="21"/>
      <c r="L34" s="21"/>
    </row>
    <row r="35" spans="1:12" s="1" customFormat="1">
      <c r="A35" s="46"/>
      <c r="B35" s="63"/>
      <c r="C35" s="64"/>
      <c r="D35" s="12" t="s">
        <v>13</v>
      </c>
      <c r="E35" s="15" t="s">
        <v>7</v>
      </c>
      <c r="F35" s="24" t="s">
        <v>17</v>
      </c>
      <c r="G35" s="34" t="s">
        <v>18</v>
      </c>
      <c r="H35" s="21"/>
      <c r="I35" s="21"/>
      <c r="J35" s="22"/>
      <c r="K35" s="21"/>
      <c r="L35" s="21"/>
    </row>
    <row r="36" spans="1:12" s="1" customFormat="1" ht="31.2">
      <c r="A36" s="46"/>
      <c r="B36" s="63"/>
      <c r="C36" s="64"/>
      <c r="D36" s="15" t="s">
        <v>69</v>
      </c>
      <c r="E36" s="12" t="s">
        <v>82</v>
      </c>
      <c r="F36" s="24" t="s">
        <v>17</v>
      </c>
      <c r="G36" s="34" t="s">
        <v>18</v>
      </c>
      <c r="H36" s="21"/>
      <c r="I36" s="21"/>
      <c r="J36" s="22"/>
      <c r="K36" s="21"/>
      <c r="L36" s="21"/>
    </row>
    <row r="37" spans="1:12" s="1" customFormat="1">
      <c r="A37" s="46"/>
      <c r="B37" s="63"/>
      <c r="C37" s="64"/>
      <c r="D37" s="15" t="s">
        <v>70</v>
      </c>
      <c r="E37" s="15" t="s">
        <v>83</v>
      </c>
      <c r="F37" s="24" t="s">
        <v>17</v>
      </c>
      <c r="G37" s="34" t="s">
        <v>18</v>
      </c>
      <c r="H37" s="21"/>
      <c r="I37" s="21"/>
      <c r="J37" s="22"/>
      <c r="K37" s="21"/>
      <c r="L37" s="21"/>
    </row>
    <row r="38" spans="1:12" s="1" customFormat="1" ht="45">
      <c r="A38" s="46"/>
      <c r="B38" s="63"/>
      <c r="C38" s="64"/>
      <c r="D38" s="18" t="s">
        <v>68</v>
      </c>
      <c r="E38" s="15" t="s">
        <v>7</v>
      </c>
      <c r="F38" s="24" t="s">
        <v>17</v>
      </c>
      <c r="G38" s="34" t="s">
        <v>18</v>
      </c>
      <c r="H38" s="21"/>
      <c r="I38" s="21"/>
      <c r="J38" s="22"/>
      <c r="K38" s="21"/>
      <c r="L38" s="21"/>
    </row>
    <row r="39" spans="1:12" s="1" customFormat="1" ht="31.2">
      <c r="A39" s="46"/>
      <c r="B39" s="63"/>
      <c r="C39" s="64"/>
      <c r="D39" s="12" t="s">
        <v>59</v>
      </c>
      <c r="E39" s="15" t="s">
        <v>11</v>
      </c>
      <c r="F39" s="24" t="s">
        <v>17</v>
      </c>
      <c r="G39" s="34" t="s">
        <v>18</v>
      </c>
      <c r="H39" s="21"/>
      <c r="I39" s="21"/>
      <c r="J39" s="22"/>
      <c r="K39" s="21"/>
      <c r="L39" s="21"/>
    </row>
    <row r="40" spans="1:12" s="1" customFormat="1">
      <c r="A40" s="46"/>
      <c r="B40" s="63"/>
      <c r="C40" s="64"/>
      <c r="D40" s="12" t="s">
        <v>3</v>
      </c>
      <c r="E40" s="15" t="s">
        <v>7</v>
      </c>
      <c r="F40" s="24" t="s">
        <v>17</v>
      </c>
      <c r="G40" s="34" t="s">
        <v>18</v>
      </c>
      <c r="H40" s="21"/>
      <c r="I40" s="21"/>
      <c r="J40" s="22"/>
      <c r="K40" s="21"/>
      <c r="L40" s="21"/>
    </row>
    <row r="41" spans="1:12" s="1" customFormat="1" ht="30">
      <c r="A41" s="46"/>
      <c r="B41" s="63"/>
      <c r="C41" s="64"/>
      <c r="D41" s="18" t="s">
        <v>67</v>
      </c>
      <c r="E41" s="15" t="s">
        <v>7</v>
      </c>
      <c r="F41" s="24" t="s">
        <v>17</v>
      </c>
      <c r="G41" s="34" t="s">
        <v>18</v>
      </c>
      <c r="H41" s="21"/>
      <c r="I41" s="21"/>
      <c r="J41" s="22"/>
      <c r="K41" s="21"/>
      <c r="L41" s="21"/>
    </row>
    <row r="42" spans="1:12" s="1" customFormat="1" ht="31.2">
      <c r="A42" s="46"/>
      <c r="B42" s="63"/>
      <c r="C42" s="64"/>
      <c r="D42" s="12" t="s">
        <v>9</v>
      </c>
      <c r="E42" s="15" t="s">
        <v>11</v>
      </c>
      <c r="F42" s="24" t="s">
        <v>17</v>
      </c>
      <c r="G42" s="34" t="s">
        <v>18</v>
      </c>
      <c r="H42" s="21"/>
      <c r="I42" s="21"/>
      <c r="J42" s="22"/>
      <c r="K42" s="21"/>
      <c r="L42" s="21"/>
    </row>
    <row r="43" spans="1:12" s="1" customFormat="1">
      <c r="A43" s="46"/>
      <c r="B43" s="63"/>
      <c r="C43" s="64"/>
      <c r="D43" s="12" t="s">
        <v>14</v>
      </c>
      <c r="E43" s="15" t="s">
        <v>7</v>
      </c>
      <c r="F43" s="24" t="s">
        <v>17</v>
      </c>
      <c r="G43" s="34" t="s">
        <v>18</v>
      </c>
      <c r="H43" s="21"/>
      <c r="I43" s="21"/>
      <c r="J43" s="22"/>
      <c r="K43" s="21"/>
      <c r="L43" s="21"/>
    </row>
    <row r="44" spans="1:12" s="1" customFormat="1" ht="31.2">
      <c r="A44" s="46"/>
      <c r="B44" s="63"/>
      <c r="C44" s="64"/>
      <c r="D44" s="12" t="s">
        <v>10</v>
      </c>
      <c r="E44" s="15" t="s">
        <v>11</v>
      </c>
      <c r="F44" s="24" t="s">
        <v>17</v>
      </c>
      <c r="G44" s="34" t="s">
        <v>18</v>
      </c>
      <c r="H44" s="21"/>
      <c r="I44" s="21"/>
      <c r="J44" s="22"/>
      <c r="K44" s="21"/>
      <c r="L44" s="21"/>
    </row>
    <row r="45" spans="1:12" s="1" customFormat="1">
      <c r="A45" s="46"/>
      <c r="B45" s="63"/>
      <c r="C45" s="64"/>
      <c r="D45" s="12" t="s">
        <v>62</v>
      </c>
      <c r="E45" s="15"/>
      <c r="F45" s="24" t="s">
        <v>17</v>
      </c>
      <c r="G45" s="30"/>
      <c r="H45" s="21"/>
      <c r="I45" s="21"/>
      <c r="J45" s="22"/>
      <c r="K45" s="21"/>
      <c r="L45" s="21"/>
    </row>
    <row r="46" spans="1:12">
      <c r="A46" s="46"/>
    </row>
    <row r="47" spans="1:12">
      <c r="A47" s="46"/>
    </row>
    <row r="48" spans="1:12">
      <c r="A48" s="46"/>
    </row>
    <row r="50" spans="1:12">
      <c r="A50" s="46" t="s">
        <v>77</v>
      </c>
    </row>
    <row r="51" spans="1:12">
      <c r="A51" s="51"/>
    </row>
    <row r="52" spans="1:12">
      <c r="A52" s="51"/>
      <c r="C52" t="s">
        <v>21</v>
      </c>
      <c r="D52" s="8" t="s">
        <v>31</v>
      </c>
      <c r="F52" s="60" t="s">
        <v>42</v>
      </c>
      <c r="G52" s="61"/>
      <c r="H52" s="26">
        <v>3</v>
      </c>
    </row>
    <row r="53" spans="1:12">
      <c r="A53" s="51"/>
      <c r="C53" t="s">
        <v>23</v>
      </c>
      <c r="D53" s="8" t="s">
        <v>32</v>
      </c>
      <c r="F53" s="60" t="s">
        <v>43</v>
      </c>
      <c r="G53" s="61"/>
      <c r="H53" s="26">
        <v>2</v>
      </c>
    </row>
    <row r="54" spans="1:12">
      <c r="A54" s="51"/>
      <c r="C54" t="s">
        <v>39</v>
      </c>
      <c r="D54" s="8" t="s">
        <v>78</v>
      </c>
      <c r="F54" s="60" t="s">
        <v>40</v>
      </c>
      <c r="G54" s="61"/>
      <c r="H54" s="27">
        <f>F62+F63+F66+F68+F69+F71</f>
        <v>18</v>
      </c>
    </row>
    <row r="55" spans="1:12">
      <c r="A55" s="51"/>
      <c r="C55" s="1" t="s">
        <v>25</v>
      </c>
      <c r="D55" s="8" t="s">
        <v>57</v>
      </c>
      <c r="F55" s="60" t="s">
        <v>41</v>
      </c>
      <c r="G55" s="61"/>
      <c r="H55" s="27">
        <f>F64+F67+F70+F72</f>
        <v>14</v>
      </c>
    </row>
    <row r="56" spans="1:12">
      <c r="A56" s="51"/>
      <c r="C56" s="1" t="s">
        <v>8</v>
      </c>
      <c r="D56" s="8" t="s">
        <v>34</v>
      </c>
    </row>
    <row r="57" spans="1:12">
      <c r="A57" s="51"/>
      <c r="C57" t="s">
        <v>29</v>
      </c>
      <c r="D57" s="8" t="s">
        <v>35</v>
      </c>
    </row>
    <row r="58" spans="1:12">
      <c r="A58" s="51"/>
      <c r="C58" t="s">
        <v>28</v>
      </c>
      <c r="D58" s="8" t="s">
        <v>36</v>
      </c>
    </row>
    <row r="59" spans="1:12">
      <c r="A59" s="51"/>
    </row>
    <row r="60" spans="1:12" ht="34.950000000000003" customHeight="1">
      <c r="A60" s="51"/>
      <c r="B60" s="47" t="s">
        <v>20</v>
      </c>
      <c r="C60" s="45" t="s">
        <v>0</v>
      </c>
      <c r="D60" s="45" t="s">
        <v>58</v>
      </c>
      <c r="E60" s="45" t="s">
        <v>4</v>
      </c>
      <c r="F60" s="47" t="s">
        <v>5</v>
      </c>
      <c r="G60" s="47"/>
      <c r="J60" s="11"/>
      <c r="K60" s="21"/>
      <c r="L60" s="21"/>
    </row>
    <row r="61" spans="1:12">
      <c r="A61" s="51"/>
      <c r="B61" s="47"/>
      <c r="C61" s="45"/>
      <c r="D61" s="45"/>
      <c r="E61" s="45"/>
      <c r="F61" s="5" t="s">
        <v>15</v>
      </c>
      <c r="G61" s="4" t="s">
        <v>16</v>
      </c>
      <c r="J61" s="11"/>
      <c r="K61" s="16"/>
      <c r="L61" s="16"/>
    </row>
    <row r="62" spans="1:12" s="1" customFormat="1">
      <c r="A62" s="51"/>
      <c r="B62" s="65">
        <v>1</v>
      </c>
      <c r="C62" s="66" t="s">
        <v>37</v>
      </c>
      <c r="D62" s="15" t="s">
        <v>66</v>
      </c>
      <c r="E62" s="6" t="s">
        <v>33</v>
      </c>
      <c r="F62" s="7">
        <v>4</v>
      </c>
      <c r="G62" s="17">
        <v>46222</v>
      </c>
      <c r="H62" s="22"/>
      <c r="I62" s="28"/>
      <c r="J62" s="22"/>
      <c r="K62" s="29"/>
      <c r="L62" s="21"/>
    </row>
    <row r="63" spans="1:12" s="1" customFormat="1">
      <c r="A63" s="51"/>
      <c r="B63" s="65"/>
      <c r="C63" s="66"/>
      <c r="D63" s="12" t="s">
        <v>13</v>
      </c>
      <c r="E63" s="6" t="s">
        <v>33</v>
      </c>
      <c r="F63" s="7">
        <v>2</v>
      </c>
      <c r="G63" s="17">
        <v>46223</v>
      </c>
      <c r="H63" s="22"/>
      <c r="I63" s="21"/>
      <c r="J63" s="22"/>
      <c r="K63" s="29"/>
      <c r="L63" s="21"/>
    </row>
    <row r="64" spans="1:12" s="1" customFormat="1" ht="31.2">
      <c r="A64" s="51"/>
      <c r="B64" s="65"/>
      <c r="C64" s="66"/>
      <c r="D64" s="15" t="s">
        <v>69</v>
      </c>
      <c r="E64" s="3" t="s">
        <v>34</v>
      </c>
      <c r="F64" s="7">
        <v>6</v>
      </c>
      <c r="G64" s="17">
        <v>46226</v>
      </c>
      <c r="H64" s="22"/>
      <c r="I64" s="21"/>
      <c r="J64" s="22"/>
      <c r="K64" s="29"/>
      <c r="L64" s="21"/>
    </row>
    <row r="65" spans="1:12" s="1" customFormat="1">
      <c r="A65" s="51"/>
      <c r="B65" s="65"/>
      <c r="C65" s="66"/>
      <c r="D65" s="15" t="s">
        <v>70</v>
      </c>
      <c r="E65" s="3" t="s">
        <v>36</v>
      </c>
      <c r="F65" s="7">
        <v>2</v>
      </c>
      <c r="G65" s="17">
        <v>46226</v>
      </c>
      <c r="H65" s="22"/>
      <c r="I65" s="21"/>
      <c r="J65" s="22"/>
      <c r="K65" s="29"/>
      <c r="L65" s="21"/>
    </row>
    <row r="66" spans="1:12" s="1" customFormat="1" ht="45">
      <c r="A66" s="51"/>
      <c r="B66" s="65"/>
      <c r="C66" s="66"/>
      <c r="D66" s="18" t="s">
        <v>68</v>
      </c>
      <c r="E66" s="6" t="s">
        <v>33</v>
      </c>
      <c r="F66" s="7">
        <v>4</v>
      </c>
      <c r="G66" s="17">
        <v>46227</v>
      </c>
      <c r="H66" s="22"/>
      <c r="I66" s="21"/>
      <c r="J66" s="22"/>
      <c r="K66" s="29"/>
      <c r="L66" s="21"/>
    </row>
    <row r="67" spans="1:12" s="1" customFormat="1">
      <c r="A67" s="51"/>
      <c r="B67" s="65"/>
      <c r="C67" s="66"/>
      <c r="D67" s="12" t="s">
        <v>59</v>
      </c>
      <c r="E67" s="3" t="s">
        <v>34</v>
      </c>
      <c r="F67" s="7">
        <v>3</v>
      </c>
      <c r="G67" s="17">
        <v>46228</v>
      </c>
      <c r="H67" s="22"/>
      <c r="I67" s="21"/>
      <c r="J67" s="22"/>
      <c r="K67" s="29"/>
      <c r="L67" s="21"/>
    </row>
    <row r="68" spans="1:12" s="1" customFormat="1">
      <c r="A68" s="51"/>
      <c r="B68" s="65"/>
      <c r="C68" s="66"/>
      <c r="D68" s="12" t="s">
        <v>3</v>
      </c>
      <c r="E68" s="6" t="s">
        <v>33</v>
      </c>
      <c r="F68" s="7">
        <v>2</v>
      </c>
      <c r="G68" s="17">
        <v>46229</v>
      </c>
      <c r="H68" s="22"/>
      <c r="I68" s="21"/>
      <c r="J68" s="22"/>
      <c r="K68" s="29"/>
      <c r="L68" s="21"/>
    </row>
    <row r="69" spans="1:12" s="1" customFormat="1" ht="30">
      <c r="A69" s="51"/>
      <c r="B69" s="65"/>
      <c r="C69" s="66"/>
      <c r="D69" s="18" t="s">
        <v>67</v>
      </c>
      <c r="E69" s="6" t="s">
        <v>33</v>
      </c>
      <c r="F69" s="7">
        <v>3</v>
      </c>
      <c r="G69" s="17">
        <v>46230</v>
      </c>
      <c r="H69" s="22"/>
      <c r="I69" s="21"/>
      <c r="J69" s="22"/>
      <c r="K69" s="29"/>
      <c r="L69" s="21"/>
    </row>
    <row r="70" spans="1:12" s="1" customFormat="1">
      <c r="A70" s="51"/>
      <c r="B70" s="65"/>
      <c r="C70" s="66"/>
      <c r="D70" s="12" t="s">
        <v>9</v>
      </c>
      <c r="E70" s="3" t="s">
        <v>34</v>
      </c>
      <c r="F70" s="7">
        <v>2</v>
      </c>
      <c r="G70" s="17">
        <v>46230</v>
      </c>
      <c r="H70" s="22"/>
      <c r="I70" s="21"/>
      <c r="J70" s="22"/>
      <c r="K70" s="29"/>
      <c r="L70" s="21"/>
    </row>
    <row r="71" spans="1:12" s="1" customFormat="1">
      <c r="A71" s="51"/>
      <c r="B71" s="65"/>
      <c r="C71" s="66"/>
      <c r="D71" s="12" t="s">
        <v>14</v>
      </c>
      <c r="E71" s="6" t="s">
        <v>33</v>
      </c>
      <c r="F71" s="7">
        <v>3</v>
      </c>
      <c r="G71" s="17">
        <v>46230</v>
      </c>
      <c r="H71" s="22"/>
      <c r="I71" s="21"/>
      <c r="J71" s="22"/>
      <c r="K71" s="29"/>
      <c r="L71" s="21"/>
    </row>
    <row r="72" spans="1:12" s="1" customFormat="1">
      <c r="A72" s="51"/>
      <c r="B72" s="65"/>
      <c r="C72" s="66"/>
      <c r="D72" s="12" t="s">
        <v>10</v>
      </c>
      <c r="E72" s="6" t="s">
        <v>34</v>
      </c>
      <c r="F72" s="7">
        <v>3</v>
      </c>
      <c r="G72" s="17">
        <v>46230</v>
      </c>
      <c r="H72" s="22"/>
      <c r="I72" s="21"/>
      <c r="J72" s="22"/>
      <c r="K72" s="29"/>
      <c r="L72" s="21"/>
    </row>
    <row r="73" spans="1:12" s="1" customFormat="1">
      <c r="A73" s="51"/>
      <c r="B73" s="65"/>
      <c r="C73" s="66"/>
      <c r="D73" s="12" t="s">
        <v>62</v>
      </c>
      <c r="E73" s="3"/>
      <c r="F73" s="13">
        <v>10</v>
      </c>
      <c r="G73" s="3"/>
      <c r="H73" s="22"/>
      <c r="I73" s="21"/>
      <c r="J73" s="22"/>
      <c r="K73" s="29"/>
      <c r="L73" s="21"/>
    </row>
  </sheetData>
  <mergeCells count="25">
    <mergeCell ref="B2:J2"/>
    <mergeCell ref="A20:A48"/>
    <mergeCell ref="B62:B73"/>
    <mergeCell ref="C62:C73"/>
    <mergeCell ref="A50:A73"/>
    <mergeCell ref="F52:G52"/>
    <mergeCell ref="F53:G53"/>
    <mergeCell ref="F54:G54"/>
    <mergeCell ref="F55:G55"/>
    <mergeCell ref="B60:B61"/>
    <mergeCell ref="C60:C61"/>
    <mergeCell ref="D60:D61"/>
    <mergeCell ref="E60:E61"/>
    <mergeCell ref="F60:G60"/>
    <mergeCell ref="F32:G32"/>
    <mergeCell ref="B34:B45"/>
    <mergeCell ref="C34:C45"/>
    <mergeCell ref="F22:G22"/>
    <mergeCell ref="F23:G23"/>
    <mergeCell ref="F24:G24"/>
    <mergeCell ref="F25:G25"/>
    <mergeCell ref="B32:B33"/>
    <mergeCell ref="C32:C33"/>
    <mergeCell ref="D32:D33"/>
    <mergeCell ref="E32:E33"/>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59EE-7A15-D54D-94D9-D9EA23ACE4D5}">
  <dimension ref="A2:L199"/>
  <sheetViews>
    <sheetView tabSelected="1" topLeftCell="A154" zoomScale="80" zoomScaleNormal="80" workbookViewId="0">
      <selection activeCell="G199" sqref="G199"/>
    </sheetView>
  </sheetViews>
  <sheetFormatPr defaultColWidth="11.19921875" defaultRowHeight="15.6"/>
  <cols>
    <col min="1" max="1" width="18.5" customWidth="1"/>
    <col min="3" max="3" width="25.296875" customWidth="1"/>
    <col min="4" max="4" width="28.796875" customWidth="1"/>
    <col min="5" max="5" width="18.69921875" style="1" customWidth="1"/>
    <col min="6" max="6" width="15.19921875" style="1" customWidth="1"/>
    <col min="7" max="7" width="16.5" customWidth="1"/>
    <col min="8" max="8" width="17.5" customWidth="1"/>
    <col min="9" max="10" width="20.796875" customWidth="1"/>
    <col min="11" max="11" width="20.5" customWidth="1"/>
    <col min="12" max="12" width="18.296875" customWidth="1"/>
    <col min="13" max="13" width="16" customWidth="1"/>
  </cols>
  <sheetData>
    <row r="2" spans="1:11" ht="198" customHeight="1">
      <c r="B2" s="57" t="s">
        <v>105</v>
      </c>
      <c r="C2" s="57"/>
      <c r="D2" s="57"/>
      <c r="E2" s="57"/>
      <c r="F2" s="57"/>
      <c r="G2" s="57"/>
      <c r="I2" s="33"/>
    </row>
    <row r="4" spans="1:11">
      <c r="A4" t="s">
        <v>74</v>
      </c>
    </row>
    <row r="8" spans="1:11" s="1" customFormat="1">
      <c r="B8" s="5" t="s">
        <v>20</v>
      </c>
      <c r="C8" s="3" t="s">
        <v>21</v>
      </c>
      <c r="D8" s="3" t="s">
        <v>23</v>
      </c>
      <c r="E8" s="3" t="s">
        <v>29</v>
      </c>
      <c r="F8" s="6" t="s">
        <v>25</v>
      </c>
      <c r="G8" s="3" t="s">
        <v>8</v>
      </c>
      <c r="H8" s="3" t="s">
        <v>44</v>
      </c>
      <c r="I8" s="3" t="s">
        <v>46</v>
      </c>
      <c r="J8" s="3" t="s">
        <v>47</v>
      </c>
      <c r="K8" s="3" t="s">
        <v>45</v>
      </c>
    </row>
    <row r="9" spans="1:11" s="1" customFormat="1">
      <c r="B9" s="5">
        <v>1</v>
      </c>
      <c r="C9" s="3" t="s">
        <v>31</v>
      </c>
      <c r="D9" s="3" t="s">
        <v>32</v>
      </c>
      <c r="E9" s="3" t="s">
        <v>35</v>
      </c>
      <c r="F9" s="6" t="s">
        <v>50</v>
      </c>
      <c r="G9" s="3" t="s">
        <v>34</v>
      </c>
      <c r="H9" s="3" t="s">
        <v>36</v>
      </c>
      <c r="I9" s="19">
        <v>1</v>
      </c>
      <c r="J9" s="19">
        <v>0</v>
      </c>
      <c r="K9" s="3" t="s">
        <v>60</v>
      </c>
    </row>
    <row r="10" spans="1:11">
      <c r="B10" s="4"/>
      <c r="C10" s="4"/>
      <c r="D10" s="4"/>
      <c r="E10" s="3"/>
      <c r="F10" s="3"/>
      <c r="G10" s="4"/>
      <c r="H10" s="4"/>
      <c r="I10" s="9"/>
      <c r="J10" s="9"/>
      <c r="K10" s="9"/>
    </row>
    <row r="11" spans="1:11">
      <c r="B11" s="4"/>
      <c r="C11" s="4"/>
      <c r="D11" s="4"/>
      <c r="E11" s="3"/>
      <c r="F11" s="3"/>
      <c r="G11" s="4"/>
      <c r="H11" s="4"/>
      <c r="I11" s="9"/>
      <c r="J11" s="9"/>
      <c r="K11" s="9"/>
    </row>
    <row r="15" spans="1:11">
      <c r="A15" s="51" t="s">
        <v>87</v>
      </c>
      <c r="B15" t="s">
        <v>52</v>
      </c>
    </row>
    <row r="16" spans="1:11">
      <c r="A16" s="51"/>
    </row>
    <row r="17" spans="1:12">
      <c r="A17" s="51"/>
      <c r="B17" s="47" t="s">
        <v>20</v>
      </c>
      <c r="C17" s="45" t="s">
        <v>0</v>
      </c>
      <c r="D17" s="45" t="s">
        <v>2</v>
      </c>
      <c r="E17" s="45" t="s">
        <v>4</v>
      </c>
      <c r="F17" s="43" t="s">
        <v>5</v>
      </c>
      <c r="G17" s="43"/>
      <c r="H17" s="43" t="s">
        <v>6</v>
      </c>
      <c r="I17" s="43"/>
      <c r="J17" s="44" t="s">
        <v>73</v>
      </c>
      <c r="K17" s="45" t="s">
        <v>51</v>
      </c>
      <c r="L17" s="40" t="s">
        <v>102</v>
      </c>
    </row>
    <row r="18" spans="1:12">
      <c r="A18" s="51"/>
      <c r="B18" s="47"/>
      <c r="C18" s="45"/>
      <c r="D18" s="45"/>
      <c r="E18" s="45"/>
      <c r="F18" s="5" t="s">
        <v>15</v>
      </c>
      <c r="G18" s="4" t="s">
        <v>16</v>
      </c>
      <c r="H18" s="4" t="s">
        <v>15</v>
      </c>
      <c r="I18" s="4" t="s">
        <v>65</v>
      </c>
      <c r="J18" s="42"/>
      <c r="K18" s="45"/>
      <c r="L18" s="42"/>
    </row>
    <row r="19" spans="1:12" s="11" customFormat="1">
      <c r="A19" s="51"/>
      <c r="B19" s="47">
        <v>1</v>
      </c>
      <c r="C19" s="45" t="s">
        <v>37</v>
      </c>
      <c r="D19" s="15" t="s">
        <v>66</v>
      </c>
      <c r="E19" s="6" t="s">
        <v>33</v>
      </c>
      <c r="F19" s="19">
        <v>4</v>
      </c>
      <c r="G19" s="17">
        <v>46222</v>
      </c>
      <c r="H19" s="32">
        <v>0</v>
      </c>
      <c r="I19" s="15"/>
      <c r="J19" s="32" t="s">
        <v>86</v>
      </c>
      <c r="K19" s="12" t="s">
        <v>96</v>
      </c>
      <c r="L19" s="48" t="s">
        <v>106</v>
      </c>
    </row>
    <row r="20" spans="1:12" s="11" customFormat="1">
      <c r="A20" s="51"/>
      <c r="B20" s="47"/>
      <c r="C20" s="45"/>
      <c r="D20" s="12" t="s">
        <v>13</v>
      </c>
      <c r="E20" s="6" t="s">
        <v>33</v>
      </c>
      <c r="F20" s="19">
        <v>2</v>
      </c>
      <c r="G20" s="17">
        <v>46223</v>
      </c>
      <c r="H20" s="32">
        <v>0</v>
      </c>
      <c r="I20" s="15"/>
      <c r="J20" s="32" t="s">
        <v>86</v>
      </c>
      <c r="K20" s="12" t="s">
        <v>96</v>
      </c>
      <c r="L20" s="49"/>
    </row>
    <row r="21" spans="1:12" s="11" customFormat="1" ht="31.2">
      <c r="A21" s="51"/>
      <c r="B21" s="47"/>
      <c r="C21" s="45"/>
      <c r="D21" s="15" t="s">
        <v>69</v>
      </c>
      <c r="E21" s="3" t="s">
        <v>34</v>
      </c>
      <c r="F21" s="19">
        <v>6</v>
      </c>
      <c r="G21" s="17">
        <v>46226</v>
      </c>
      <c r="H21" s="32">
        <v>0</v>
      </c>
      <c r="I21" s="15"/>
      <c r="J21" s="32" t="s">
        <v>86</v>
      </c>
      <c r="K21" s="12" t="s">
        <v>96</v>
      </c>
      <c r="L21" s="49"/>
    </row>
    <row r="22" spans="1:12" s="11" customFormat="1">
      <c r="A22" s="51"/>
      <c r="B22" s="47"/>
      <c r="C22" s="45"/>
      <c r="D22" s="15" t="s">
        <v>70</v>
      </c>
      <c r="E22" s="3" t="s">
        <v>36</v>
      </c>
      <c r="F22" s="19">
        <v>2</v>
      </c>
      <c r="G22" s="17">
        <v>46226</v>
      </c>
      <c r="H22" s="32"/>
      <c r="I22" s="15"/>
      <c r="J22" s="32" t="s">
        <v>86</v>
      </c>
      <c r="K22" s="12" t="s">
        <v>96</v>
      </c>
      <c r="L22" s="49"/>
    </row>
    <row r="23" spans="1:12" s="11" customFormat="1" ht="45">
      <c r="A23" s="51"/>
      <c r="B23" s="47"/>
      <c r="C23" s="45"/>
      <c r="D23" s="18" t="s">
        <v>68</v>
      </c>
      <c r="E23" s="6" t="s">
        <v>33</v>
      </c>
      <c r="F23" s="19">
        <v>4</v>
      </c>
      <c r="G23" s="17">
        <v>46227</v>
      </c>
      <c r="H23" s="32">
        <v>0</v>
      </c>
      <c r="I23" s="15"/>
      <c r="J23" s="32" t="s">
        <v>86</v>
      </c>
      <c r="K23" s="12" t="s">
        <v>96</v>
      </c>
      <c r="L23" s="49"/>
    </row>
    <row r="24" spans="1:12" s="11" customFormat="1">
      <c r="A24" s="51"/>
      <c r="B24" s="47"/>
      <c r="C24" s="45"/>
      <c r="D24" s="12" t="s">
        <v>59</v>
      </c>
      <c r="E24" s="3" t="s">
        <v>34</v>
      </c>
      <c r="F24" s="19">
        <v>3</v>
      </c>
      <c r="G24" s="17">
        <v>46228</v>
      </c>
      <c r="H24" s="32">
        <v>0</v>
      </c>
      <c r="I24" s="15"/>
      <c r="J24" s="32" t="s">
        <v>86</v>
      </c>
      <c r="K24" s="12" t="s">
        <v>96</v>
      </c>
      <c r="L24" s="49"/>
    </row>
    <row r="25" spans="1:12" s="11" customFormat="1">
      <c r="A25" s="51"/>
      <c r="B25" s="47"/>
      <c r="C25" s="45"/>
      <c r="D25" s="12" t="s">
        <v>3</v>
      </c>
      <c r="E25" s="6" t="s">
        <v>33</v>
      </c>
      <c r="F25" s="19">
        <v>2</v>
      </c>
      <c r="G25" s="17">
        <v>46229</v>
      </c>
      <c r="H25" s="32">
        <v>0</v>
      </c>
      <c r="I25" s="15"/>
      <c r="J25" s="32" t="s">
        <v>86</v>
      </c>
      <c r="K25" s="12" t="s">
        <v>96</v>
      </c>
      <c r="L25" s="49"/>
    </row>
    <row r="26" spans="1:12" s="11" customFormat="1" ht="30">
      <c r="A26" s="51"/>
      <c r="B26" s="47"/>
      <c r="C26" s="45"/>
      <c r="D26" s="18" t="s">
        <v>67</v>
      </c>
      <c r="E26" s="6" t="s">
        <v>33</v>
      </c>
      <c r="F26" s="19">
        <v>3</v>
      </c>
      <c r="G26" s="17">
        <v>46230</v>
      </c>
      <c r="H26" s="32">
        <v>0</v>
      </c>
      <c r="I26" s="15"/>
      <c r="J26" s="32" t="s">
        <v>86</v>
      </c>
      <c r="K26" s="12" t="s">
        <v>96</v>
      </c>
      <c r="L26" s="49"/>
    </row>
    <row r="27" spans="1:12" s="11" customFormat="1">
      <c r="A27" s="51"/>
      <c r="B27" s="47"/>
      <c r="C27" s="45"/>
      <c r="D27" s="12" t="s">
        <v>9</v>
      </c>
      <c r="E27" s="3" t="s">
        <v>34</v>
      </c>
      <c r="F27" s="19">
        <v>2</v>
      </c>
      <c r="G27" s="17">
        <v>46230</v>
      </c>
      <c r="H27" s="32">
        <v>0</v>
      </c>
      <c r="I27" s="15"/>
      <c r="J27" s="32" t="s">
        <v>86</v>
      </c>
      <c r="K27" s="12" t="s">
        <v>96</v>
      </c>
      <c r="L27" s="49"/>
    </row>
    <row r="28" spans="1:12" s="11" customFormat="1">
      <c r="A28" s="51"/>
      <c r="B28" s="47"/>
      <c r="C28" s="45"/>
      <c r="D28" s="12" t="s">
        <v>14</v>
      </c>
      <c r="E28" s="6" t="s">
        <v>33</v>
      </c>
      <c r="F28" s="19">
        <v>3</v>
      </c>
      <c r="G28" s="17">
        <v>46230</v>
      </c>
      <c r="H28" s="32">
        <v>0</v>
      </c>
      <c r="I28" s="15"/>
      <c r="J28" s="32" t="s">
        <v>86</v>
      </c>
      <c r="K28" s="12" t="s">
        <v>96</v>
      </c>
      <c r="L28" s="49"/>
    </row>
    <row r="29" spans="1:12" s="11" customFormat="1">
      <c r="A29" s="51"/>
      <c r="B29" s="47"/>
      <c r="C29" s="45"/>
      <c r="D29" s="12" t="s">
        <v>10</v>
      </c>
      <c r="E29" s="6" t="s">
        <v>34</v>
      </c>
      <c r="F29" s="19">
        <v>3</v>
      </c>
      <c r="G29" s="17">
        <v>46230</v>
      </c>
      <c r="H29" s="32">
        <v>0</v>
      </c>
      <c r="I29" s="15"/>
      <c r="J29" s="32" t="s">
        <v>86</v>
      </c>
      <c r="K29" s="12" t="s">
        <v>96</v>
      </c>
      <c r="L29" s="49"/>
    </row>
    <row r="30" spans="1:12">
      <c r="A30" s="51"/>
      <c r="B30" s="47"/>
      <c r="C30" s="45"/>
      <c r="D30" s="12" t="s">
        <v>62</v>
      </c>
      <c r="E30" s="3"/>
      <c r="F30" s="5">
        <v>10</v>
      </c>
      <c r="G30" s="3"/>
      <c r="H30" s="4"/>
      <c r="I30" s="4"/>
      <c r="J30" s="4"/>
      <c r="K30" s="12" t="s">
        <v>96</v>
      </c>
      <c r="L30" s="50"/>
    </row>
    <row r="31" spans="1:12">
      <c r="A31" s="51"/>
    </row>
    <row r="32" spans="1:12">
      <c r="A32" s="51"/>
    </row>
    <row r="33" spans="1:10">
      <c r="A33" s="51"/>
    </row>
    <row r="34" spans="1:10">
      <c r="A34" s="51"/>
    </row>
    <row r="35" spans="1:10">
      <c r="A35" s="51"/>
      <c r="B35" s="1" t="s">
        <v>63</v>
      </c>
    </row>
    <row r="36" spans="1:10">
      <c r="A36" s="51"/>
    </row>
    <row r="37" spans="1:10">
      <c r="A37" s="51"/>
      <c r="C37" s="55" t="s">
        <v>53</v>
      </c>
      <c r="D37" s="45" t="s">
        <v>2</v>
      </c>
      <c r="E37" s="45" t="s">
        <v>4</v>
      </c>
      <c r="F37" s="43" t="s">
        <v>5</v>
      </c>
      <c r="G37" s="43"/>
      <c r="H37" s="4" t="s">
        <v>6</v>
      </c>
    </row>
    <row r="38" spans="1:10">
      <c r="A38" s="51"/>
      <c r="C38" s="55"/>
      <c r="D38" s="45"/>
      <c r="E38" s="45"/>
      <c r="F38" s="5" t="s">
        <v>15</v>
      </c>
      <c r="G38" s="4" t="s">
        <v>16</v>
      </c>
      <c r="H38" s="4" t="s">
        <v>15</v>
      </c>
    </row>
    <row r="39" spans="1:10" ht="31.2">
      <c r="A39" s="51"/>
      <c r="C39" s="12" t="s">
        <v>54</v>
      </c>
      <c r="D39" s="6" t="s">
        <v>12</v>
      </c>
      <c r="E39" s="6" t="s">
        <v>33</v>
      </c>
      <c r="F39" s="19">
        <v>4</v>
      </c>
      <c r="G39" s="3" t="s">
        <v>38</v>
      </c>
      <c r="H39" s="10" t="s">
        <v>84</v>
      </c>
      <c r="I39" s="31"/>
    </row>
    <row r="40" spans="1:10">
      <c r="A40" s="51"/>
    </row>
    <row r="41" spans="1:10">
      <c r="A41" s="51"/>
      <c r="C41" s="2" t="s">
        <v>88</v>
      </c>
      <c r="D41" s="53" t="s">
        <v>90</v>
      </c>
      <c r="E41" s="53"/>
      <c r="F41" s="3" t="s">
        <v>15</v>
      </c>
      <c r="G41" s="54" t="s">
        <v>61</v>
      </c>
      <c r="H41" s="54"/>
      <c r="I41" s="54"/>
      <c r="J41" s="3" t="s">
        <v>85</v>
      </c>
    </row>
    <row r="42" spans="1:10">
      <c r="A42" s="51"/>
      <c r="C42" s="2" t="s">
        <v>55</v>
      </c>
      <c r="D42" s="56" t="s">
        <v>1</v>
      </c>
      <c r="E42" s="56"/>
      <c r="F42" s="13" t="s">
        <v>92</v>
      </c>
      <c r="G42" s="52" t="s">
        <v>1</v>
      </c>
      <c r="H42" s="52"/>
      <c r="I42" s="52"/>
      <c r="J42" s="5" t="s">
        <v>19</v>
      </c>
    </row>
    <row r="43" spans="1:10">
      <c r="A43" s="51"/>
    </row>
    <row r="44" spans="1:10">
      <c r="A44" s="51"/>
      <c r="E44" s="5" t="s">
        <v>56</v>
      </c>
      <c r="F44" s="4" t="s">
        <v>64</v>
      </c>
    </row>
    <row r="45" spans="1:10">
      <c r="A45" s="51"/>
      <c r="I45" s="14"/>
    </row>
    <row r="46" spans="1:10">
      <c r="A46" s="51"/>
    </row>
    <row r="47" spans="1:10">
      <c r="A47" s="51"/>
    </row>
    <row r="48" spans="1:10">
      <c r="A48" s="51"/>
    </row>
    <row r="50" spans="1:12">
      <c r="A50" s="46" t="s">
        <v>100</v>
      </c>
      <c r="B50" t="s">
        <v>52</v>
      </c>
    </row>
    <row r="51" spans="1:12">
      <c r="A51" s="51"/>
    </row>
    <row r="52" spans="1:12">
      <c r="A52" s="51"/>
      <c r="B52" s="47" t="s">
        <v>20</v>
      </c>
      <c r="C52" s="45" t="s">
        <v>0</v>
      </c>
      <c r="D52" s="45" t="s">
        <v>2</v>
      </c>
      <c r="E52" s="45" t="s">
        <v>4</v>
      </c>
      <c r="F52" s="43" t="s">
        <v>5</v>
      </c>
      <c r="G52" s="43"/>
      <c r="H52" s="43" t="s">
        <v>6</v>
      </c>
      <c r="I52" s="43"/>
      <c r="J52" s="44" t="s">
        <v>73</v>
      </c>
      <c r="K52" s="45" t="s">
        <v>51</v>
      </c>
      <c r="L52" s="40" t="s">
        <v>102</v>
      </c>
    </row>
    <row r="53" spans="1:12">
      <c r="A53" s="51"/>
      <c r="B53" s="47"/>
      <c r="C53" s="45"/>
      <c r="D53" s="45"/>
      <c r="E53" s="45"/>
      <c r="F53" s="5" t="s">
        <v>15</v>
      </c>
      <c r="G53" s="4" t="s">
        <v>16</v>
      </c>
      <c r="H53" s="4" t="s">
        <v>15</v>
      </c>
      <c r="I53" s="4" t="s">
        <v>65</v>
      </c>
      <c r="J53" s="42"/>
      <c r="K53" s="45"/>
      <c r="L53" s="42"/>
    </row>
    <row r="54" spans="1:12" s="11" customFormat="1">
      <c r="A54" s="51"/>
      <c r="B54" s="47">
        <v>1</v>
      </c>
      <c r="C54" s="45" t="s">
        <v>37</v>
      </c>
      <c r="D54" s="15" t="s">
        <v>66</v>
      </c>
      <c r="E54" s="6" t="s">
        <v>33</v>
      </c>
      <c r="F54" s="19">
        <v>4</v>
      </c>
      <c r="G54" s="17">
        <v>46222</v>
      </c>
      <c r="H54" s="32">
        <v>0</v>
      </c>
      <c r="I54" s="15"/>
      <c r="J54" s="32" t="s">
        <v>86</v>
      </c>
      <c r="K54" s="12" t="s">
        <v>96</v>
      </c>
      <c r="L54" s="48" t="s">
        <v>106</v>
      </c>
    </row>
    <row r="55" spans="1:12" s="11" customFormat="1">
      <c r="A55" s="51"/>
      <c r="B55" s="47"/>
      <c r="C55" s="45"/>
      <c r="D55" s="12" t="s">
        <v>13</v>
      </c>
      <c r="E55" s="6" t="s">
        <v>33</v>
      </c>
      <c r="F55" s="19">
        <v>2</v>
      </c>
      <c r="G55" s="17">
        <v>46223</v>
      </c>
      <c r="H55" s="32">
        <v>0</v>
      </c>
      <c r="I55" s="15"/>
      <c r="J55" s="32" t="s">
        <v>86</v>
      </c>
      <c r="K55" s="12" t="s">
        <v>96</v>
      </c>
      <c r="L55" s="49"/>
    </row>
    <row r="56" spans="1:12" s="11" customFormat="1" ht="31.2">
      <c r="A56" s="51"/>
      <c r="B56" s="47"/>
      <c r="C56" s="45"/>
      <c r="D56" s="15" t="s">
        <v>69</v>
      </c>
      <c r="E56" s="3" t="s">
        <v>34</v>
      </c>
      <c r="F56" s="19">
        <v>6</v>
      </c>
      <c r="G56" s="17">
        <v>46226</v>
      </c>
      <c r="H56" s="32">
        <v>0</v>
      </c>
      <c r="I56" s="15"/>
      <c r="J56" s="32" t="s">
        <v>86</v>
      </c>
      <c r="K56" s="12" t="s">
        <v>96</v>
      </c>
      <c r="L56" s="49"/>
    </row>
    <row r="57" spans="1:12" s="11" customFormat="1">
      <c r="A57" s="51"/>
      <c r="B57" s="47"/>
      <c r="C57" s="45"/>
      <c r="D57" s="15" t="s">
        <v>70</v>
      </c>
      <c r="E57" s="3" t="s">
        <v>36</v>
      </c>
      <c r="F57" s="19">
        <v>2</v>
      </c>
      <c r="G57" s="17">
        <v>46226</v>
      </c>
      <c r="H57" s="32"/>
      <c r="I57" s="15"/>
      <c r="J57" s="32" t="s">
        <v>86</v>
      </c>
      <c r="K57" s="12" t="s">
        <v>96</v>
      </c>
      <c r="L57" s="49"/>
    </row>
    <row r="58" spans="1:12" s="11" customFormat="1" ht="45">
      <c r="A58" s="51"/>
      <c r="B58" s="47"/>
      <c r="C58" s="45"/>
      <c r="D58" s="18" t="s">
        <v>68</v>
      </c>
      <c r="E58" s="6" t="s">
        <v>33</v>
      </c>
      <c r="F58" s="19">
        <v>4</v>
      </c>
      <c r="G58" s="17">
        <v>46227</v>
      </c>
      <c r="H58" s="32">
        <v>0</v>
      </c>
      <c r="I58" s="15"/>
      <c r="J58" s="32" t="s">
        <v>86</v>
      </c>
      <c r="K58" s="12" t="s">
        <v>96</v>
      </c>
      <c r="L58" s="49"/>
    </row>
    <row r="59" spans="1:12" s="11" customFormat="1">
      <c r="A59" s="51"/>
      <c r="B59" s="47"/>
      <c r="C59" s="45"/>
      <c r="D59" s="12" t="s">
        <v>59</v>
      </c>
      <c r="E59" s="3" t="s">
        <v>34</v>
      </c>
      <c r="F59" s="19">
        <v>3</v>
      </c>
      <c r="G59" s="17">
        <v>46228</v>
      </c>
      <c r="H59" s="32">
        <v>0</v>
      </c>
      <c r="I59" s="15"/>
      <c r="J59" s="32" t="s">
        <v>86</v>
      </c>
      <c r="K59" s="12" t="s">
        <v>96</v>
      </c>
      <c r="L59" s="49"/>
    </row>
    <row r="60" spans="1:12" s="11" customFormat="1">
      <c r="A60" s="51"/>
      <c r="B60" s="47"/>
      <c r="C60" s="45"/>
      <c r="D60" s="12" t="s">
        <v>3</v>
      </c>
      <c r="E60" s="6" t="s">
        <v>33</v>
      </c>
      <c r="F60" s="19">
        <v>2</v>
      </c>
      <c r="G60" s="17">
        <v>46229</v>
      </c>
      <c r="H60" s="32">
        <v>0</v>
      </c>
      <c r="I60" s="15"/>
      <c r="J60" s="32" t="s">
        <v>86</v>
      </c>
      <c r="K60" s="12" t="s">
        <v>96</v>
      </c>
      <c r="L60" s="49"/>
    </row>
    <row r="61" spans="1:12" s="11" customFormat="1" ht="30">
      <c r="A61" s="51"/>
      <c r="B61" s="47"/>
      <c r="C61" s="45"/>
      <c r="D61" s="18" t="s">
        <v>67</v>
      </c>
      <c r="E61" s="6" t="s">
        <v>33</v>
      </c>
      <c r="F61" s="19">
        <v>3</v>
      </c>
      <c r="G61" s="17">
        <v>46230</v>
      </c>
      <c r="H61" s="32">
        <v>0</v>
      </c>
      <c r="I61" s="15"/>
      <c r="J61" s="32" t="s">
        <v>86</v>
      </c>
      <c r="K61" s="12" t="s">
        <v>96</v>
      </c>
      <c r="L61" s="49"/>
    </row>
    <row r="62" spans="1:12" s="11" customFormat="1">
      <c r="A62" s="51"/>
      <c r="B62" s="47"/>
      <c r="C62" s="45"/>
      <c r="D62" s="12" t="s">
        <v>9</v>
      </c>
      <c r="E62" s="3" t="s">
        <v>34</v>
      </c>
      <c r="F62" s="19">
        <v>2</v>
      </c>
      <c r="G62" s="17">
        <v>46230</v>
      </c>
      <c r="H62" s="32">
        <v>0</v>
      </c>
      <c r="I62" s="15"/>
      <c r="J62" s="32" t="s">
        <v>86</v>
      </c>
      <c r="K62" s="12" t="s">
        <v>96</v>
      </c>
      <c r="L62" s="49"/>
    </row>
    <row r="63" spans="1:12" s="11" customFormat="1">
      <c r="A63" s="51"/>
      <c r="B63" s="47"/>
      <c r="C63" s="45"/>
      <c r="D63" s="12" t="s">
        <v>14</v>
      </c>
      <c r="E63" s="6" t="s">
        <v>33</v>
      </c>
      <c r="F63" s="19">
        <v>3</v>
      </c>
      <c r="G63" s="17">
        <v>46230</v>
      </c>
      <c r="H63" s="32">
        <v>0</v>
      </c>
      <c r="I63" s="15"/>
      <c r="J63" s="32" t="s">
        <v>86</v>
      </c>
      <c r="K63" s="12" t="s">
        <v>96</v>
      </c>
      <c r="L63" s="49"/>
    </row>
    <row r="64" spans="1:12" s="11" customFormat="1">
      <c r="A64" s="51"/>
      <c r="B64" s="47"/>
      <c r="C64" s="45"/>
      <c r="D64" s="12" t="s">
        <v>10</v>
      </c>
      <c r="E64" s="6" t="s">
        <v>34</v>
      </c>
      <c r="F64" s="19">
        <v>3</v>
      </c>
      <c r="G64" s="17">
        <v>46230</v>
      </c>
      <c r="H64" s="32">
        <v>0</v>
      </c>
      <c r="I64" s="15"/>
      <c r="J64" s="32" t="s">
        <v>86</v>
      </c>
      <c r="K64" s="12" t="s">
        <v>96</v>
      </c>
      <c r="L64" s="49"/>
    </row>
    <row r="65" spans="1:12">
      <c r="A65" s="51"/>
      <c r="B65" s="47"/>
      <c r="C65" s="45"/>
      <c r="D65" s="12" t="s">
        <v>62</v>
      </c>
      <c r="E65" s="3"/>
      <c r="F65" s="5">
        <v>10</v>
      </c>
      <c r="G65" s="3"/>
      <c r="H65" s="4"/>
      <c r="I65" s="4"/>
      <c r="J65" s="4"/>
      <c r="K65" s="12" t="s">
        <v>96</v>
      </c>
      <c r="L65" s="50"/>
    </row>
    <row r="66" spans="1:12">
      <c r="A66" s="51"/>
    </row>
    <row r="67" spans="1:12">
      <c r="A67" s="51"/>
    </row>
    <row r="68" spans="1:12">
      <c r="A68" s="51"/>
    </row>
    <row r="69" spans="1:12">
      <c r="A69" s="51"/>
    </row>
    <row r="70" spans="1:12">
      <c r="A70" s="51"/>
      <c r="B70" s="1" t="s">
        <v>63</v>
      </c>
    </row>
    <row r="71" spans="1:12">
      <c r="A71" s="51"/>
    </row>
    <row r="72" spans="1:12">
      <c r="A72" s="51"/>
      <c r="C72" s="55" t="s">
        <v>53</v>
      </c>
      <c r="D72" s="45" t="s">
        <v>2</v>
      </c>
      <c r="E72" s="45" t="s">
        <v>4</v>
      </c>
      <c r="F72" s="43" t="s">
        <v>5</v>
      </c>
      <c r="G72" s="43"/>
      <c r="H72" s="4" t="s">
        <v>6</v>
      </c>
    </row>
    <row r="73" spans="1:12">
      <c r="A73" s="51"/>
      <c r="C73" s="55"/>
      <c r="D73" s="45"/>
      <c r="E73" s="45"/>
      <c r="F73" s="5" t="s">
        <v>15</v>
      </c>
      <c r="G73" s="4" t="s">
        <v>16</v>
      </c>
      <c r="H73" s="4" t="s">
        <v>15</v>
      </c>
    </row>
    <row r="74" spans="1:12" ht="31.2">
      <c r="A74" s="51"/>
      <c r="C74" s="12" t="s">
        <v>54</v>
      </c>
      <c r="D74" s="6" t="s">
        <v>12</v>
      </c>
      <c r="E74" s="6" t="s">
        <v>33</v>
      </c>
      <c r="F74" s="19">
        <v>4</v>
      </c>
      <c r="G74" s="3" t="s">
        <v>38</v>
      </c>
      <c r="H74" s="10">
        <v>1</v>
      </c>
      <c r="I74" s="31"/>
    </row>
    <row r="75" spans="1:12">
      <c r="A75" s="51"/>
    </row>
    <row r="76" spans="1:12">
      <c r="A76" s="51"/>
      <c r="C76" s="2" t="s">
        <v>88</v>
      </c>
      <c r="D76" s="53" t="s">
        <v>90</v>
      </c>
      <c r="E76" s="53"/>
      <c r="F76" s="3" t="s">
        <v>15</v>
      </c>
      <c r="G76" s="54" t="s">
        <v>61</v>
      </c>
      <c r="H76" s="54"/>
      <c r="I76" s="54"/>
      <c r="J76" s="3" t="s">
        <v>85</v>
      </c>
    </row>
    <row r="77" spans="1:12">
      <c r="A77" s="51"/>
      <c r="C77" s="2" t="s">
        <v>55</v>
      </c>
      <c r="D77" s="56" t="s">
        <v>89</v>
      </c>
      <c r="E77" s="56"/>
      <c r="F77" s="13">
        <v>1</v>
      </c>
      <c r="G77" s="52" t="s">
        <v>91</v>
      </c>
      <c r="H77" s="52"/>
      <c r="I77" s="52"/>
      <c r="J77" s="5" t="s">
        <v>19</v>
      </c>
    </row>
    <row r="78" spans="1:12">
      <c r="A78" s="51"/>
    </row>
    <row r="79" spans="1:12">
      <c r="A79" s="51"/>
      <c r="E79" s="36" t="s">
        <v>56</v>
      </c>
      <c r="F79" s="4" t="s">
        <v>64</v>
      </c>
    </row>
    <row r="80" spans="1:12">
      <c r="A80" s="51"/>
      <c r="I80" s="14"/>
    </row>
    <row r="81" spans="1:12">
      <c r="A81" s="51"/>
    </row>
    <row r="82" spans="1:12">
      <c r="A82" s="51"/>
    </row>
    <row r="83" spans="1:12">
      <c r="A83" s="51"/>
    </row>
    <row r="85" spans="1:12">
      <c r="A85" s="46" t="s">
        <v>99</v>
      </c>
      <c r="B85" t="s">
        <v>52</v>
      </c>
    </row>
    <row r="86" spans="1:12">
      <c r="A86" s="46"/>
    </row>
    <row r="87" spans="1:12">
      <c r="A87" s="46"/>
      <c r="B87" s="47" t="s">
        <v>20</v>
      </c>
      <c r="C87" s="45" t="s">
        <v>0</v>
      </c>
      <c r="D87" s="45" t="s">
        <v>2</v>
      </c>
      <c r="E87" s="45" t="s">
        <v>4</v>
      </c>
      <c r="F87" s="43" t="s">
        <v>5</v>
      </c>
      <c r="G87" s="43"/>
      <c r="H87" s="43" t="s">
        <v>6</v>
      </c>
      <c r="I87" s="43"/>
      <c r="J87" s="44" t="s">
        <v>73</v>
      </c>
      <c r="K87" s="45" t="s">
        <v>51</v>
      </c>
      <c r="L87" s="40" t="s">
        <v>102</v>
      </c>
    </row>
    <row r="88" spans="1:12">
      <c r="A88" s="46"/>
      <c r="B88" s="47"/>
      <c r="C88" s="45"/>
      <c r="D88" s="45"/>
      <c r="E88" s="45"/>
      <c r="F88" s="5" t="s">
        <v>15</v>
      </c>
      <c r="G88" s="4" t="s">
        <v>16</v>
      </c>
      <c r="H88" s="4" t="s">
        <v>15</v>
      </c>
      <c r="I88" s="4" t="s">
        <v>65</v>
      </c>
      <c r="J88" s="42"/>
      <c r="K88" s="45"/>
      <c r="L88" s="42"/>
    </row>
    <row r="89" spans="1:12" s="11" customFormat="1">
      <c r="A89" s="46"/>
      <c r="B89" s="47">
        <v>1</v>
      </c>
      <c r="C89" s="45" t="s">
        <v>37</v>
      </c>
      <c r="D89" s="15" t="s">
        <v>66</v>
      </c>
      <c r="E89" s="6" t="s">
        <v>33</v>
      </c>
      <c r="F89" s="19">
        <v>4</v>
      </c>
      <c r="G89" s="17">
        <v>46222</v>
      </c>
      <c r="H89" s="32">
        <v>1</v>
      </c>
      <c r="I89" s="15"/>
      <c r="J89" s="32" t="s">
        <v>86</v>
      </c>
      <c r="K89" s="12" t="s">
        <v>96</v>
      </c>
      <c r="L89" s="48" t="s">
        <v>106</v>
      </c>
    </row>
    <row r="90" spans="1:12" s="11" customFormat="1">
      <c r="A90" s="46"/>
      <c r="B90" s="47"/>
      <c r="C90" s="45"/>
      <c r="D90" s="12" t="s">
        <v>13</v>
      </c>
      <c r="E90" s="6" t="s">
        <v>33</v>
      </c>
      <c r="F90" s="19">
        <v>2</v>
      </c>
      <c r="G90" s="17">
        <v>46223</v>
      </c>
      <c r="H90" s="32">
        <v>0</v>
      </c>
      <c r="I90" s="15"/>
      <c r="J90" s="32" t="s">
        <v>86</v>
      </c>
      <c r="K90" s="12" t="s">
        <v>96</v>
      </c>
      <c r="L90" s="49"/>
    </row>
    <row r="91" spans="1:12" s="11" customFormat="1" ht="31.2">
      <c r="A91" s="46"/>
      <c r="B91" s="47"/>
      <c r="C91" s="45"/>
      <c r="D91" s="15" t="s">
        <v>69</v>
      </c>
      <c r="E91" s="3" t="s">
        <v>34</v>
      </c>
      <c r="F91" s="19">
        <v>6</v>
      </c>
      <c r="G91" s="17">
        <v>46226</v>
      </c>
      <c r="H91" s="32">
        <v>0</v>
      </c>
      <c r="I91" s="15"/>
      <c r="J91" s="32" t="s">
        <v>86</v>
      </c>
      <c r="K91" s="12" t="s">
        <v>96</v>
      </c>
      <c r="L91" s="49"/>
    </row>
    <row r="92" spans="1:12" s="11" customFormat="1">
      <c r="A92" s="46"/>
      <c r="B92" s="47"/>
      <c r="C92" s="45"/>
      <c r="D92" s="15" t="s">
        <v>70</v>
      </c>
      <c r="E92" s="3" t="s">
        <v>36</v>
      </c>
      <c r="F92" s="19">
        <v>2</v>
      </c>
      <c r="G92" s="17">
        <v>46226</v>
      </c>
      <c r="H92" s="32"/>
      <c r="I92" s="15"/>
      <c r="J92" s="32" t="s">
        <v>86</v>
      </c>
      <c r="K92" s="12" t="s">
        <v>96</v>
      </c>
      <c r="L92" s="49"/>
    </row>
    <row r="93" spans="1:12" s="11" customFormat="1" ht="45">
      <c r="A93" s="46"/>
      <c r="B93" s="47"/>
      <c r="C93" s="45"/>
      <c r="D93" s="18" t="s">
        <v>68</v>
      </c>
      <c r="E93" s="6" t="s">
        <v>33</v>
      </c>
      <c r="F93" s="19">
        <v>4</v>
      </c>
      <c r="G93" s="17">
        <v>46227</v>
      </c>
      <c r="H93" s="32">
        <v>0</v>
      </c>
      <c r="I93" s="15"/>
      <c r="J93" s="32" t="s">
        <v>86</v>
      </c>
      <c r="K93" s="12" t="s">
        <v>96</v>
      </c>
      <c r="L93" s="49"/>
    </row>
    <row r="94" spans="1:12" s="11" customFormat="1">
      <c r="A94" s="46"/>
      <c r="B94" s="47"/>
      <c r="C94" s="45"/>
      <c r="D94" s="12" t="s">
        <v>59</v>
      </c>
      <c r="E94" s="3" t="s">
        <v>34</v>
      </c>
      <c r="F94" s="19">
        <v>3</v>
      </c>
      <c r="G94" s="17">
        <v>46228</v>
      </c>
      <c r="H94" s="32">
        <v>0</v>
      </c>
      <c r="I94" s="15"/>
      <c r="J94" s="32" t="s">
        <v>86</v>
      </c>
      <c r="K94" s="12" t="s">
        <v>96</v>
      </c>
      <c r="L94" s="49"/>
    </row>
    <row r="95" spans="1:12" s="11" customFormat="1">
      <c r="A95" s="46"/>
      <c r="B95" s="47"/>
      <c r="C95" s="45"/>
      <c r="D95" s="12" t="s">
        <v>3</v>
      </c>
      <c r="E95" s="6" t="s">
        <v>33</v>
      </c>
      <c r="F95" s="19">
        <v>2</v>
      </c>
      <c r="G95" s="17">
        <v>46229</v>
      </c>
      <c r="H95" s="32">
        <v>0</v>
      </c>
      <c r="I95" s="15"/>
      <c r="J95" s="32" t="s">
        <v>86</v>
      </c>
      <c r="K95" s="12" t="s">
        <v>96</v>
      </c>
      <c r="L95" s="49"/>
    </row>
    <row r="96" spans="1:12" s="11" customFormat="1" ht="30">
      <c r="A96" s="46"/>
      <c r="B96" s="47"/>
      <c r="C96" s="45"/>
      <c r="D96" s="18" t="s">
        <v>67</v>
      </c>
      <c r="E96" s="6" t="s">
        <v>33</v>
      </c>
      <c r="F96" s="19">
        <v>3</v>
      </c>
      <c r="G96" s="17">
        <v>46230</v>
      </c>
      <c r="H96" s="32">
        <v>0</v>
      </c>
      <c r="I96" s="15"/>
      <c r="J96" s="32" t="s">
        <v>86</v>
      </c>
      <c r="K96" s="12" t="s">
        <v>96</v>
      </c>
      <c r="L96" s="49"/>
    </row>
    <row r="97" spans="1:12" s="11" customFormat="1">
      <c r="A97" s="46"/>
      <c r="B97" s="47"/>
      <c r="C97" s="45"/>
      <c r="D97" s="12" t="s">
        <v>9</v>
      </c>
      <c r="E97" s="3" t="s">
        <v>34</v>
      </c>
      <c r="F97" s="19">
        <v>2</v>
      </c>
      <c r="G97" s="17">
        <v>46230</v>
      </c>
      <c r="H97" s="32">
        <v>0</v>
      </c>
      <c r="I97" s="15"/>
      <c r="J97" s="32" t="s">
        <v>86</v>
      </c>
      <c r="K97" s="12" t="s">
        <v>96</v>
      </c>
      <c r="L97" s="49"/>
    </row>
    <row r="98" spans="1:12" s="11" customFormat="1">
      <c r="A98" s="46"/>
      <c r="B98" s="47"/>
      <c r="C98" s="45"/>
      <c r="D98" s="12" t="s">
        <v>14</v>
      </c>
      <c r="E98" s="6" t="s">
        <v>33</v>
      </c>
      <c r="F98" s="19">
        <v>3</v>
      </c>
      <c r="G98" s="17">
        <v>46230</v>
      </c>
      <c r="H98" s="32">
        <v>0</v>
      </c>
      <c r="I98" s="15"/>
      <c r="J98" s="32" t="s">
        <v>86</v>
      </c>
      <c r="K98" s="12" t="s">
        <v>96</v>
      </c>
      <c r="L98" s="49"/>
    </row>
    <row r="99" spans="1:12" s="11" customFormat="1">
      <c r="A99" s="46"/>
      <c r="B99" s="47"/>
      <c r="C99" s="45"/>
      <c r="D99" s="12" t="s">
        <v>10</v>
      </c>
      <c r="E99" s="6" t="s">
        <v>34</v>
      </c>
      <c r="F99" s="19">
        <v>3</v>
      </c>
      <c r="G99" s="17">
        <v>46230</v>
      </c>
      <c r="H99" s="32">
        <v>0</v>
      </c>
      <c r="I99" s="15"/>
      <c r="J99" s="32" t="s">
        <v>86</v>
      </c>
      <c r="K99" s="12" t="s">
        <v>96</v>
      </c>
      <c r="L99" s="49"/>
    </row>
    <row r="100" spans="1:12">
      <c r="A100" s="46"/>
      <c r="B100" s="47"/>
      <c r="C100" s="45"/>
      <c r="D100" s="12" t="s">
        <v>62</v>
      </c>
      <c r="E100" s="3"/>
      <c r="F100" s="5">
        <v>10</v>
      </c>
      <c r="G100" s="3"/>
      <c r="H100" s="4"/>
      <c r="I100" s="4"/>
      <c r="J100" s="4"/>
      <c r="K100" s="12" t="s">
        <v>96</v>
      </c>
      <c r="L100" s="50"/>
    </row>
    <row r="101" spans="1:12">
      <c r="A101" s="46"/>
    </row>
    <row r="102" spans="1:12">
      <c r="A102" s="46"/>
    </row>
    <row r="103" spans="1:12">
      <c r="A103" s="46"/>
    </row>
    <row r="104" spans="1:12">
      <c r="A104" s="46"/>
    </row>
    <row r="105" spans="1:12">
      <c r="A105" s="46"/>
      <c r="B105" s="1" t="s">
        <v>63</v>
      </c>
    </row>
    <row r="106" spans="1:12">
      <c r="A106" s="46"/>
    </row>
    <row r="107" spans="1:12">
      <c r="A107" s="46"/>
      <c r="C107" s="55" t="s">
        <v>53</v>
      </c>
      <c r="D107" s="45" t="s">
        <v>2</v>
      </c>
      <c r="E107" s="45" t="s">
        <v>4</v>
      </c>
      <c r="F107" s="43" t="s">
        <v>5</v>
      </c>
      <c r="G107" s="43"/>
      <c r="H107" s="4" t="s">
        <v>6</v>
      </c>
    </row>
    <row r="108" spans="1:12">
      <c r="A108" s="46"/>
      <c r="C108" s="55"/>
      <c r="D108" s="45"/>
      <c r="E108" s="45"/>
      <c r="F108" s="5" t="s">
        <v>15</v>
      </c>
      <c r="G108" s="4" t="s">
        <v>16</v>
      </c>
      <c r="H108" s="4" t="s">
        <v>15</v>
      </c>
    </row>
    <row r="109" spans="1:12" ht="31.2">
      <c r="A109" s="46"/>
      <c r="C109" s="12" t="s">
        <v>54</v>
      </c>
      <c r="D109" s="6" t="s">
        <v>12</v>
      </c>
      <c r="E109" s="6" t="s">
        <v>33</v>
      </c>
      <c r="F109" s="19">
        <v>4</v>
      </c>
      <c r="G109" s="3" t="s">
        <v>38</v>
      </c>
      <c r="H109" s="10">
        <f>F112+F113</f>
        <v>4</v>
      </c>
      <c r="I109" s="31"/>
    </row>
    <row r="110" spans="1:12">
      <c r="A110" s="46"/>
    </row>
    <row r="111" spans="1:12">
      <c r="A111" s="46"/>
      <c r="C111" s="2" t="s">
        <v>88</v>
      </c>
      <c r="D111" s="53" t="s">
        <v>90</v>
      </c>
      <c r="E111" s="53"/>
      <c r="F111" s="3" t="s">
        <v>15</v>
      </c>
      <c r="G111" s="54" t="s">
        <v>61</v>
      </c>
      <c r="H111" s="54"/>
      <c r="I111" s="54"/>
      <c r="J111" s="3" t="s">
        <v>85</v>
      </c>
    </row>
    <row r="112" spans="1:12">
      <c r="A112" s="46"/>
      <c r="C112" s="2" t="s">
        <v>55</v>
      </c>
      <c r="D112" s="53" t="s">
        <v>89</v>
      </c>
      <c r="E112" s="53"/>
      <c r="F112" s="5">
        <v>1</v>
      </c>
      <c r="G112" s="54" t="s">
        <v>91</v>
      </c>
      <c r="H112" s="54"/>
      <c r="I112" s="54"/>
      <c r="J112" s="5" t="s">
        <v>19</v>
      </c>
    </row>
    <row r="113" spans="1:12">
      <c r="A113" s="46"/>
      <c r="C113" s="2" t="s">
        <v>93</v>
      </c>
      <c r="D113" s="56" t="s">
        <v>94</v>
      </c>
      <c r="E113" s="56"/>
      <c r="F113" s="13">
        <v>3</v>
      </c>
      <c r="G113" s="52"/>
      <c r="H113" s="52"/>
      <c r="I113" s="52"/>
      <c r="J113" s="5" t="s">
        <v>19</v>
      </c>
    </row>
    <row r="114" spans="1:12">
      <c r="A114" s="46"/>
    </row>
    <row r="115" spans="1:12">
      <c r="A115" s="46"/>
      <c r="E115" s="5" t="s">
        <v>56</v>
      </c>
      <c r="F115" s="37" t="s">
        <v>64</v>
      </c>
    </row>
    <row r="116" spans="1:12">
      <c r="A116" s="46"/>
      <c r="I116" s="14"/>
    </row>
    <row r="117" spans="1:12">
      <c r="A117" s="46"/>
      <c r="D117" t="s">
        <v>71</v>
      </c>
    </row>
    <row r="118" spans="1:12">
      <c r="A118" s="46"/>
      <c r="D118" t="s">
        <v>72</v>
      </c>
    </row>
    <row r="119" spans="1:12">
      <c r="A119" s="46"/>
    </row>
    <row r="121" spans="1:12">
      <c r="A121" s="46" t="s">
        <v>98</v>
      </c>
      <c r="B121" t="s">
        <v>52</v>
      </c>
    </row>
    <row r="122" spans="1:12">
      <c r="A122" s="51"/>
    </row>
    <row r="123" spans="1:12">
      <c r="A123" s="51"/>
      <c r="B123" s="47" t="s">
        <v>20</v>
      </c>
      <c r="C123" s="45" t="s">
        <v>0</v>
      </c>
      <c r="D123" s="45" t="s">
        <v>2</v>
      </c>
      <c r="E123" s="45" t="s">
        <v>4</v>
      </c>
      <c r="F123" s="43" t="s">
        <v>5</v>
      </c>
      <c r="G123" s="43"/>
      <c r="H123" s="43" t="s">
        <v>6</v>
      </c>
      <c r="I123" s="43"/>
      <c r="J123" s="44" t="s">
        <v>73</v>
      </c>
      <c r="K123" s="45" t="s">
        <v>51</v>
      </c>
      <c r="L123" s="40" t="s">
        <v>102</v>
      </c>
    </row>
    <row r="124" spans="1:12">
      <c r="A124" s="51"/>
      <c r="B124" s="47"/>
      <c r="C124" s="45"/>
      <c r="D124" s="45"/>
      <c r="E124" s="45"/>
      <c r="F124" s="5" t="s">
        <v>15</v>
      </c>
      <c r="G124" s="4" t="s">
        <v>16</v>
      </c>
      <c r="H124" s="4" t="s">
        <v>15</v>
      </c>
      <c r="I124" s="4" t="s">
        <v>65</v>
      </c>
      <c r="J124" s="42"/>
      <c r="K124" s="45"/>
      <c r="L124" s="42"/>
    </row>
    <row r="125" spans="1:12" s="11" customFormat="1">
      <c r="A125" s="51"/>
      <c r="B125" s="47">
        <v>1</v>
      </c>
      <c r="C125" s="45" t="s">
        <v>37</v>
      </c>
      <c r="D125" s="15" t="s">
        <v>66</v>
      </c>
      <c r="E125" s="6" t="s">
        <v>33</v>
      </c>
      <c r="F125" s="19">
        <v>4</v>
      </c>
      <c r="G125" s="17">
        <v>46222</v>
      </c>
      <c r="H125" s="32">
        <v>4</v>
      </c>
      <c r="I125" s="32" t="s">
        <v>93</v>
      </c>
      <c r="J125" s="32" t="s">
        <v>95</v>
      </c>
      <c r="K125" s="12" t="s">
        <v>97</v>
      </c>
      <c r="L125" s="48" t="s">
        <v>106</v>
      </c>
    </row>
    <row r="126" spans="1:12" s="11" customFormat="1">
      <c r="A126" s="51"/>
      <c r="B126" s="47"/>
      <c r="C126" s="45"/>
      <c r="D126" s="12" t="s">
        <v>13</v>
      </c>
      <c r="E126" s="6" t="s">
        <v>33</v>
      </c>
      <c r="F126" s="19">
        <v>2</v>
      </c>
      <c r="G126" s="17">
        <v>46223</v>
      </c>
      <c r="H126" s="32">
        <v>0</v>
      </c>
      <c r="I126" s="15"/>
      <c r="J126" s="32" t="s">
        <v>86</v>
      </c>
      <c r="K126" s="12" t="s">
        <v>96</v>
      </c>
      <c r="L126" s="49"/>
    </row>
    <row r="127" spans="1:12" s="11" customFormat="1" ht="31.2">
      <c r="A127" s="51"/>
      <c r="B127" s="47"/>
      <c r="C127" s="45"/>
      <c r="D127" s="15" t="s">
        <v>69</v>
      </c>
      <c r="E127" s="3" t="s">
        <v>34</v>
      </c>
      <c r="F127" s="19">
        <v>6</v>
      </c>
      <c r="G127" s="17">
        <v>46226</v>
      </c>
      <c r="H127" s="32">
        <v>0</v>
      </c>
      <c r="I127" s="15"/>
      <c r="J127" s="32" t="s">
        <v>86</v>
      </c>
      <c r="K127" s="12" t="s">
        <v>96</v>
      </c>
      <c r="L127" s="49"/>
    </row>
    <row r="128" spans="1:12" s="11" customFormat="1">
      <c r="A128" s="51"/>
      <c r="B128" s="47"/>
      <c r="C128" s="45"/>
      <c r="D128" s="15" t="s">
        <v>70</v>
      </c>
      <c r="E128" s="3" t="s">
        <v>36</v>
      </c>
      <c r="F128" s="19">
        <v>2</v>
      </c>
      <c r="G128" s="17">
        <v>46226</v>
      </c>
      <c r="H128" s="32"/>
      <c r="I128" s="15"/>
      <c r="J128" s="32" t="s">
        <v>86</v>
      </c>
      <c r="K128" s="12" t="s">
        <v>96</v>
      </c>
      <c r="L128" s="49"/>
    </row>
    <row r="129" spans="1:12" s="11" customFormat="1" ht="45">
      <c r="A129" s="51"/>
      <c r="B129" s="47"/>
      <c r="C129" s="45"/>
      <c r="D129" s="18" t="s">
        <v>68</v>
      </c>
      <c r="E129" s="6" t="s">
        <v>33</v>
      </c>
      <c r="F129" s="19">
        <v>4</v>
      </c>
      <c r="G129" s="17">
        <v>46227</v>
      </c>
      <c r="H129" s="32">
        <v>0</v>
      </c>
      <c r="I129" s="15"/>
      <c r="J129" s="32" t="s">
        <v>86</v>
      </c>
      <c r="K129" s="12" t="s">
        <v>96</v>
      </c>
      <c r="L129" s="49"/>
    </row>
    <row r="130" spans="1:12" s="11" customFormat="1">
      <c r="A130" s="51"/>
      <c r="B130" s="47"/>
      <c r="C130" s="45"/>
      <c r="D130" s="12" t="s">
        <v>59</v>
      </c>
      <c r="E130" s="3" t="s">
        <v>34</v>
      </c>
      <c r="F130" s="19">
        <v>3</v>
      </c>
      <c r="G130" s="17">
        <v>46228</v>
      </c>
      <c r="H130" s="32">
        <v>0</v>
      </c>
      <c r="I130" s="15"/>
      <c r="J130" s="32" t="s">
        <v>86</v>
      </c>
      <c r="K130" s="12" t="s">
        <v>96</v>
      </c>
      <c r="L130" s="49"/>
    </row>
    <row r="131" spans="1:12" s="11" customFormat="1">
      <c r="A131" s="51"/>
      <c r="B131" s="47"/>
      <c r="C131" s="45"/>
      <c r="D131" s="12" t="s">
        <v>3</v>
      </c>
      <c r="E131" s="6" t="s">
        <v>33</v>
      </c>
      <c r="F131" s="19">
        <v>2</v>
      </c>
      <c r="G131" s="17">
        <v>46229</v>
      </c>
      <c r="H131" s="32">
        <v>0</v>
      </c>
      <c r="I131" s="15"/>
      <c r="J131" s="32" t="s">
        <v>86</v>
      </c>
      <c r="K131" s="12" t="s">
        <v>96</v>
      </c>
      <c r="L131" s="49"/>
    </row>
    <row r="132" spans="1:12" s="11" customFormat="1" ht="30">
      <c r="A132" s="51"/>
      <c r="B132" s="47"/>
      <c r="C132" s="45"/>
      <c r="D132" s="18" t="s">
        <v>67</v>
      </c>
      <c r="E132" s="6" t="s">
        <v>33</v>
      </c>
      <c r="F132" s="19">
        <v>3</v>
      </c>
      <c r="G132" s="17">
        <v>46230</v>
      </c>
      <c r="H132" s="32">
        <v>0</v>
      </c>
      <c r="I132" s="15"/>
      <c r="J132" s="32" t="s">
        <v>86</v>
      </c>
      <c r="K132" s="12" t="s">
        <v>96</v>
      </c>
      <c r="L132" s="49"/>
    </row>
    <row r="133" spans="1:12" s="11" customFormat="1">
      <c r="A133" s="51"/>
      <c r="B133" s="47"/>
      <c r="C133" s="45"/>
      <c r="D133" s="12" t="s">
        <v>9</v>
      </c>
      <c r="E133" s="3" t="s">
        <v>34</v>
      </c>
      <c r="F133" s="19">
        <v>2</v>
      </c>
      <c r="G133" s="17">
        <v>46230</v>
      </c>
      <c r="H133" s="32">
        <v>0</v>
      </c>
      <c r="I133" s="15"/>
      <c r="J133" s="32" t="s">
        <v>86</v>
      </c>
      <c r="K133" s="12" t="s">
        <v>96</v>
      </c>
      <c r="L133" s="49"/>
    </row>
    <row r="134" spans="1:12" s="11" customFormat="1">
      <c r="A134" s="51"/>
      <c r="B134" s="47"/>
      <c r="C134" s="45"/>
      <c r="D134" s="12" t="s">
        <v>14</v>
      </c>
      <c r="E134" s="6" t="s">
        <v>33</v>
      </c>
      <c r="F134" s="19">
        <v>3</v>
      </c>
      <c r="G134" s="17">
        <v>46230</v>
      </c>
      <c r="H134" s="32">
        <v>0</v>
      </c>
      <c r="I134" s="15"/>
      <c r="J134" s="32" t="s">
        <v>86</v>
      </c>
      <c r="K134" s="12" t="s">
        <v>96</v>
      </c>
      <c r="L134" s="49"/>
    </row>
    <row r="135" spans="1:12" s="11" customFormat="1">
      <c r="A135" s="51"/>
      <c r="B135" s="47"/>
      <c r="C135" s="45"/>
      <c r="D135" s="12" t="s">
        <v>10</v>
      </c>
      <c r="E135" s="6" t="s">
        <v>34</v>
      </c>
      <c r="F135" s="19">
        <v>3</v>
      </c>
      <c r="G135" s="17">
        <v>46230</v>
      </c>
      <c r="H135" s="32">
        <v>0</v>
      </c>
      <c r="I135" s="15"/>
      <c r="J135" s="32" t="s">
        <v>86</v>
      </c>
      <c r="K135" s="12" t="s">
        <v>96</v>
      </c>
      <c r="L135" s="49"/>
    </row>
    <row r="136" spans="1:12">
      <c r="A136" s="51"/>
      <c r="B136" s="47"/>
      <c r="C136" s="45"/>
      <c r="D136" s="12" t="s">
        <v>62</v>
      </c>
      <c r="E136" s="3"/>
      <c r="F136" s="5">
        <v>10</v>
      </c>
      <c r="G136" s="3"/>
      <c r="H136" s="4"/>
      <c r="I136" s="4"/>
      <c r="J136" s="4"/>
      <c r="K136" s="12" t="s">
        <v>96</v>
      </c>
      <c r="L136" s="50"/>
    </row>
    <row r="143" spans="1:12">
      <c r="A143" s="46" t="s">
        <v>103</v>
      </c>
    </row>
    <row r="144" spans="1:12">
      <c r="A144" s="46"/>
    </row>
    <row r="145" spans="1:12" s="1" customFormat="1" ht="16.95" customHeight="1">
      <c r="A145" s="46"/>
      <c r="B145" s="5" t="s">
        <v>20</v>
      </c>
      <c r="C145" s="3" t="s">
        <v>21</v>
      </c>
      <c r="D145" s="3" t="s">
        <v>23</v>
      </c>
      <c r="E145" s="3" t="s">
        <v>29</v>
      </c>
      <c r="F145" s="6" t="s">
        <v>25</v>
      </c>
      <c r="G145" s="3" t="s">
        <v>8</v>
      </c>
      <c r="H145" s="3" t="s">
        <v>44</v>
      </c>
      <c r="I145" s="3" t="s">
        <v>46</v>
      </c>
      <c r="J145" s="3" t="s">
        <v>47</v>
      </c>
      <c r="K145" s="3" t="s">
        <v>45</v>
      </c>
    </row>
    <row r="146" spans="1:12" s="1" customFormat="1">
      <c r="A146" s="46"/>
      <c r="B146" s="5">
        <v>1</v>
      </c>
      <c r="C146" s="3" t="s">
        <v>31</v>
      </c>
      <c r="D146" s="3" t="s">
        <v>32</v>
      </c>
      <c r="E146" s="3" t="s">
        <v>35</v>
      </c>
      <c r="F146" s="6" t="s">
        <v>50</v>
      </c>
      <c r="G146" s="3" t="s">
        <v>34</v>
      </c>
      <c r="H146" s="3" t="s">
        <v>36</v>
      </c>
      <c r="I146" s="19">
        <v>1</v>
      </c>
      <c r="J146" s="19">
        <v>0</v>
      </c>
      <c r="K146" s="3" t="s">
        <v>60</v>
      </c>
    </row>
    <row r="147" spans="1:12">
      <c r="A147" s="46"/>
      <c r="B147" s="4"/>
      <c r="C147" s="4"/>
      <c r="D147" s="4"/>
      <c r="E147" s="3"/>
      <c r="F147" s="3"/>
      <c r="G147" s="4"/>
      <c r="H147" s="4"/>
      <c r="I147" s="9"/>
      <c r="J147" s="9"/>
      <c r="K147" s="9"/>
    </row>
    <row r="148" spans="1:12">
      <c r="A148" s="46"/>
      <c r="B148" s="4"/>
      <c r="C148" s="4"/>
      <c r="D148" s="4"/>
      <c r="E148" s="3"/>
      <c r="F148" s="3"/>
      <c r="G148" s="4"/>
      <c r="H148" s="4"/>
      <c r="I148" s="9"/>
      <c r="J148" s="9"/>
      <c r="K148" s="9"/>
    </row>
    <row r="149" spans="1:12">
      <c r="A149" s="46"/>
    </row>
    <row r="150" spans="1:12" ht="16.05" customHeight="1">
      <c r="A150" s="46"/>
      <c r="B150" t="s">
        <v>52</v>
      </c>
    </row>
    <row r="151" spans="1:12">
      <c r="A151" s="46"/>
    </row>
    <row r="152" spans="1:12">
      <c r="A152" s="46"/>
      <c r="B152" s="47" t="s">
        <v>20</v>
      </c>
      <c r="C152" s="45" t="s">
        <v>0</v>
      </c>
      <c r="D152" s="45" t="s">
        <v>2</v>
      </c>
      <c r="E152" s="45" t="s">
        <v>4</v>
      </c>
      <c r="F152" s="43" t="s">
        <v>5</v>
      </c>
      <c r="G152" s="43"/>
      <c r="H152" s="43" t="s">
        <v>6</v>
      </c>
      <c r="I152" s="43"/>
      <c r="J152" s="44" t="s">
        <v>73</v>
      </c>
      <c r="K152" s="45" t="s">
        <v>51</v>
      </c>
      <c r="L152" s="40" t="s">
        <v>102</v>
      </c>
    </row>
    <row r="153" spans="1:12">
      <c r="A153" s="46"/>
      <c r="B153" s="47"/>
      <c r="C153" s="45"/>
      <c r="D153" s="45"/>
      <c r="E153" s="45"/>
      <c r="F153" s="5" t="s">
        <v>15</v>
      </c>
      <c r="G153" s="4" t="s">
        <v>16</v>
      </c>
      <c r="H153" s="4" t="s">
        <v>15</v>
      </c>
      <c r="I153" s="4" t="s">
        <v>65</v>
      </c>
      <c r="J153" s="42"/>
      <c r="K153" s="45"/>
      <c r="L153" s="42"/>
    </row>
    <row r="154" spans="1:12" s="11" customFormat="1">
      <c r="A154" s="46"/>
      <c r="B154" s="47">
        <v>1</v>
      </c>
      <c r="C154" s="45" t="s">
        <v>37</v>
      </c>
      <c r="D154" s="15" t="s">
        <v>66</v>
      </c>
      <c r="E154" s="6" t="s">
        <v>33</v>
      </c>
      <c r="F154" s="19">
        <v>4</v>
      </c>
      <c r="G154" s="17">
        <v>46222</v>
      </c>
      <c r="H154" s="32">
        <v>4</v>
      </c>
      <c r="I154" s="39">
        <v>46223</v>
      </c>
      <c r="J154" s="32" t="s">
        <v>95</v>
      </c>
      <c r="K154" s="12" t="s">
        <v>96</v>
      </c>
      <c r="L154" s="48" t="s">
        <v>106</v>
      </c>
    </row>
    <row r="155" spans="1:12" s="11" customFormat="1">
      <c r="A155" s="46"/>
      <c r="B155" s="47"/>
      <c r="C155" s="45"/>
      <c r="D155" s="12" t="s">
        <v>13</v>
      </c>
      <c r="E155" s="6" t="s">
        <v>33</v>
      </c>
      <c r="F155" s="19">
        <v>2</v>
      </c>
      <c r="G155" s="17">
        <v>46223</v>
      </c>
      <c r="H155" s="32">
        <v>2</v>
      </c>
      <c r="I155" s="39">
        <v>46224</v>
      </c>
      <c r="J155" s="32" t="s">
        <v>95</v>
      </c>
      <c r="K155" s="12" t="s">
        <v>96</v>
      </c>
      <c r="L155" s="49"/>
    </row>
    <row r="156" spans="1:12" s="11" customFormat="1" ht="31.2">
      <c r="A156" s="46"/>
      <c r="B156" s="47"/>
      <c r="C156" s="45"/>
      <c r="D156" s="15" t="s">
        <v>69</v>
      </c>
      <c r="E156" s="3" t="s">
        <v>34</v>
      </c>
      <c r="F156" s="19">
        <v>6</v>
      </c>
      <c r="G156" s="17">
        <v>46226</v>
      </c>
      <c r="H156" s="32">
        <v>10</v>
      </c>
      <c r="I156" s="39">
        <v>46225</v>
      </c>
      <c r="J156" s="32" t="s">
        <v>95</v>
      </c>
      <c r="K156" s="12" t="s">
        <v>96</v>
      </c>
      <c r="L156" s="49"/>
    </row>
    <row r="157" spans="1:12" s="11" customFormat="1">
      <c r="A157" s="46"/>
      <c r="B157" s="47"/>
      <c r="C157" s="45"/>
      <c r="D157" s="15" t="s">
        <v>70</v>
      </c>
      <c r="E157" s="3" t="s">
        <v>36</v>
      </c>
      <c r="F157" s="19">
        <v>2</v>
      </c>
      <c r="G157" s="17">
        <v>46226</v>
      </c>
      <c r="H157" s="32">
        <v>2</v>
      </c>
      <c r="I157" s="39">
        <v>46226</v>
      </c>
      <c r="J157" s="32" t="s">
        <v>95</v>
      </c>
      <c r="K157" s="12" t="s">
        <v>96</v>
      </c>
      <c r="L157" s="49"/>
    </row>
    <row r="158" spans="1:12" s="11" customFormat="1" ht="45">
      <c r="A158" s="46"/>
      <c r="B158" s="47"/>
      <c r="C158" s="45"/>
      <c r="D158" s="18" t="s">
        <v>68</v>
      </c>
      <c r="E158" s="6" t="s">
        <v>33</v>
      </c>
      <c r="F158" s="19">
        <v>4</v>
      </c>
      <c r="G158" s="17">
        <v>46227</v>
      </c>
      <c r="H158" s="32">
        <v>10</v>
      </c>
      <c r="I158" s="39">
        <v>46227</v>
      </c>
      <c r="J158" s="32" t="s">
        <v>95</v>
      </c>
      <c r="K158" s="12" t="s">
        <v>96</v>
      </c>
      <c r="L158" s="49"/>
    </row>
    <row r="159" spans="1:12" s="11" customFormat="1">
      <c r="A159" s="46"/>
      <c r="B159" s="47"/>
      <c r="C159" s="45"/>
      <c r="D159" s="12" t="s">
        <v>59</v>
      </c>
      <c r="E159" s="3" t="s">
        <v>34</v>
      </c>
      <c r="F159" s="19">
        <v>3</v>
      </c>
      <c r="G159" s="17">
        <v>46228</v>
      </c>
      <c r="H159" s="32">
        <v>7</v>
      </c>
      <c r="I159" s="39">
        <v>46232</v>
      </c>
      <c r="J159" s="32" t="s">
        <v>95</v>
      </c>
      <c r="K159" s="12" t="s">
        <v>96</v>
      </c>
      <c r="L159" s="49"/>
    </row>
    <row r="160" spans="1:12" s="11" customFormat="1">
      <c r="A160" s="46"/>
      <c r="B160" s="47"/>
      <c r="C160" s="45"/>
      <c r="D160" s="12" t="s">
        <v>3</v>
      </c>
      <c r="E160" s="6" t="s">
        <v>33</v>
      </c>
      <c r="F160" s="19">
        <v>2</v>
      </c>
      <c r="G160" s="17">
        <v>46229</v>
      </c>
      <c r="H160" s="32">
        <v>8</v>
      </c>
      <c r="I160" s="39">
        <v>46233</v>
      </c>
      <c r="J160" s="32" t="s">
        <v>95</v>
      </c>
      <c r="K160" s="12" t="s">
        <v>96</v>
      </c>
      <c r="L160" s="49"/>
    </row>
    <row r="161" spans="1:12" s="11" customFormat="1" ht="30">
      <c r="A161" s="46"/>
      <c r="B161" s="47"/>
      <c r="C161" s="45"/>
      <c r="D161" s="18" t="s">
        <v>67</v>
      </c>
      <c r="E161" s="6" t="s">
        <v>33</v>
      </c>
      <c r="F161" s="19">
        <v>3</v>
      </c>
      <c r="G161" s="17">
        <v>46230</v>
      </c>
      <c r="H161" s="32">
        <v>5</v>
      </c>
      <c r="I161" s="38">
        <v>46235</v>
      </c>
      <c r="J161" s="32" t="s">
        <v>95</v>
      </c>
      <c r="K161" s="12" t="s">
        <v>96</v>
      </c>
      <c r="L161" s="49"/>
    </row>
    <row r="162" spans="1:12" s="11" customFormat="1">
      <c r="A162" s="46"/>
      <c r="B162" s="47"/>
      <c r="C162" s="45"/>
      <c r="D162" s="12" t="s">
        <v>9</v>
      </c>
      <c r="E162" s="3" t="s">
        <v>34</v>
      </c>
      <c r="F162" s="19">
        <v>2</v>
      </c>
      <c r="G162" s="17">
        <v>46230</v>
      </c>
      <c r="H162" s="32">
        <v>3</v>
      </c>
      <c r="I162" s="38">
        <v>46236</v>
      </c>
      <c r="J162" s="32" t="s">
        <v>95</v>
      </c>
      <c r="K162" s="12" t="s">
        <v>96</v>
      </c>
      <c r="L162" s="49"/>
    </row>
    <row r="163" spans="1:12" s="11" customFormat="1">
      <c r="A163" s="46"/>
      <c r="B163" s="47"/>
      <c r="C163" s="45"/>
      <c r="D163" s="12" t="s">
        <v>14</v>
      </c>
      <c r="E163" s="6" t="s">
        <v>33</v>
      </c>
      <c r="F163" s="19">
        <v>3</v>
      </c>
      <c r="G163" s="17">
        <v>46230</v>
      </c>
      <c r="H163" s="32">
        <v>5</v>
      </c>
      <c r="I163" s="38">
        <v>46239</v>
      </c>
      <c r="J163" s="32" t="s">
        <v>95</v>
      </c>
      <c r="K163" s="12" t="s">
        <v>96</v>
      </c>
      <c r="L163" s="49"/>
    </row>
    <row r="164" spans="1:12" s="11" customFormat="1">
      <c r="A164" s="46"/>
      <c r="B164" s="47"/>
      <c r="C164" s="45"/>
      <c r="D164" s="12" t="s">
        <v>10</v>
      </c>
      <c r="E164" s="6" t="s">
        <v>34</v>
      </c>
      <c r="F164" s="19">
        <v>3</v>
      </c>
      <c r="G164" s="17">
        <v>46230</v>
      </c>
      <c r="H164" s="32">
        <v>5</v>
      </c>
      <c r="I164" s="38">
        <v>46239</v>
      </c>
      <c r="J164" s="32" t="s">
        <v>95</v>
      </c>
      <c r="K164" s="12" t="s">
        <v>96</v>
      </c>
      <c r="L164" s="49"/>
    </row>
    <row r="165" spans="1:12">
      <c r="A165" s="46"/>
      <c r="B165" s="47"/>
      <c r="C165" s="45"/>
      <c r="D165" s="12" t="s">
        <v>62</v>
      </c>
      <c r="E165" s="3"/>
      <c r="F165" s="5">
        <v>10</v>
      </c>
      <c r="G165" s="3"/>
      <c r="H165" s="2">
        <v>12</v>
      </c>
      <c r="I165" s="4"/>
      <c r="J165" s="4"/>
      <c r="K165" s="12" t="s">
        <v>96</v>
      </c>
      <c r="L165" s="50"/>
    </row>
    <row r="166" spans="1:12">
      <c r="A166" s="46"/>
    </row>
    <row r="167" spans="1:12">
      <c r="A167" s="46"/>
    </row>
    <row r="168" spans="1:12">
      <c r="A168" s="46"/>
    </row>
    <row r="169" spans="1:12">
      <c r="A169" s="46"/>
    </row>
    <row r="170" spans="1:12">
      <c r="A170" s="46"/>
    </row>
    <row r="172" spans="1:12">
      <c r="A172" s="46" t="s">
        <v>104</v>
      </c>
    </row>
    <row r="173" spans="1:12">
      <c r="A173" s="46"/>
    </row>
    <row r="174" spans="1:12" s="1" customFormat="1" ht="16.95" customHeight="1">
      <c r="A174" s="46"/>
      <c r="B174" s="5" t="s">
        <v>20</v>
      </c>
      <c r="C174" s="3" t="s">
        <v>21</v>
      </c>
      <c r="D174" s="3" t="s">
        <v>23</v>
      </c>
      <c r="E174" s="3" t="s">
        <v>29</v>
      </c>
      <c r="F174" s="6" t="s">
        <v>25</v>
      </c>
      <c r="G174" s="3" t="s">
        <v>8</v>
      </c>
      <c r="H174" s="3" t="s">
        <v>44</v>
      </c>
      <c r="I174" s="3" t="s">
        <v>46</v>
      </c>
      <c r="J174" s="3" t="s">
        <v>47</v>
      </c>
      <c r="K174" s="3" t="s">
        <v>45</v>
      </c>
    </row>
    <row r="175" spans="1:12" s="1" customFormat="1">
      <c r="A175" s="46"/>
      <c r="B175" s="5">
        <v>1</v>
      </c>
      <c r="C175" s="3" t="s">
        <v>31</v>
      </c>
      <c r="D175" s="3" t="s">
        <v>32</v>
      </c>
      <c r="E175" s="3" t="s">
        <v>35</v>
      </c>
      <c r="F175" s="6" t="s">
        <v>50</v>
      </c>
      <c r="G175" s="3" t="s">
        <v>34</v>
      </c>
      <c r="H175" s="3" t="s">
        <v>36</v>
      </c>
      <c r="I175" s="19">
        <v>1</v>
      </c>
      <c r="J175" s="19">
        <v>1</v>
      </c>
      <c r="K175" s="3" t="s">
        <v>60</v>
      </c>
    </row>
    <row r="176" spans="1:12">
      <c r="A176" s="46"/>
      <c r="B176" s="4"/>
      <c r="C176" s="4"/>
      <c r="D176" s="4"/>
      <c r="E176" s="3"/>
      <c r="F176" s="3"/>
      <c r="G176" s="4"/>
      <c r="H176" s="4"/>
      <c r="I176" s="9"/>
      <c r="J176" s="9"/>
      <c r="K176" s="9"/>
    </row>
    <row r="177" spans="1:12">
      <c r="A177" s="46"/>
      <c r="B177" s="4"/>
      <c r="C177" s="4"/>
      <c r="D177" s="4"/>
      <c r="E177" s="3"/>
      <c r="F177" s="3"/>
      <c r="G177" s="4"/>
      <c r="H177" s="4"/>
      <c r="I177" s="9"/>
      <c r="J177" s="9"/>
      <c r="K177" s="9"/>
    </row>
    <row r="178" spans="1:12">
      <c r="A178" s="46"/>
    </row>
    <row r="179" spans="1:12" ht="16.05" customHeight="1">
      <c r="A179" s="46"/>
      <c r="B179" t="s">
        <v>97</v>
      </c>
    </row>
    <row r="180" spans="1:12">
      <c r="A180" s="46"/>
    </row>
    <row r="181" spans="1:12">
      <c r="A181" s="46"/>
      <c r="B181" s="47" t="s">
        <v>20</v>
      </c>
      <c r="C181" s="45" t="s">
        <v>0</v>
      </c>
      <c r="D181" s="45" t="s">
        <v>2</v>
      </c>
      <c r="E181" s="45" t="s">
        <v>4</v>
      </c>
      <c r="F181" s="43" t="s">
        <v>5</v>
      </c>
      <c r="G181" s="43"/>
      <c r="H181" s="43" t="s">
        <v>6</v>
      </c>
      <c r="I181" s="43"/>
      <c r="J181" s="44" t="s">
        <v>73</v>
      </c>
      <c r="K181" s="45" t="s">
        <v>51</v>
      </c>
      <c r="L181" s="40" t="s">
        <v>102</v>
      </c>
    </row>
    <row r="182" spans="1:12">
      <c r="A182" s="46"/>
      <c r="B182" s="47"/>
      <c r="C182" s="45"/>
      <c r="D182" s="45"/>
      <c r="E182" s="45"/>
      <c r="F182" s="5" t="s">
        <v>15</v>
      </c>
      <c r="G182" s="4" t="s">
        <v>16</v>
      </c>
      <c r="H182" s="4" t="s">
        <v>15</v>
      </c>
      <c r="I182" s="4" t="s">
        <v>65</v>
      </c>
      <c r="J182" s="42"/>
      <c r="K182" s="45"/>
      <c r="L182" s="42"/>
    </row>
    <row r="183" spans="1:12" s="11" customFormat="1">
      <c r="A183" s="46"/>
      <c r="B183" s="47">
        <v>1</v>
      </c>
      <c r="C183" s="45" t="s">
        <v>37</v>
      </c>
      <c r="D183" s="15" t="s">
        <v>66</v>
      </c>
      <c r="E183" s="6" t="s">
        <v>33</v>
      </c>
      <c r="F183" s="19">
        <v>4</v>
      </c>
      <c r="G183" s="17">
        <v>46222</v>
      </c>
      <c r="H183" s="32">
        <v>4</v>
      </c>
      <c r="I183" s="39">
        <v>46223</v>
      </c>
      <c r="J183" s="32" t="s">
        <v>95</v>
      </c>
      <c r="K183" s="12" t="s">
        <v>96</v>
      </c>
      <c r="L183" s="40" t="s">
        <v>95</v>
      </c>
    </row>
    <row r="184" spans="1:12" s="11" customFormat="1">
      <c r="A184" s="46"/>
      <c r="B184" s="47"/>
      <c r="C184" s="45"/>
      <c r="D184" s="12" t="s">
        <v>13</v>
      </c>
      <c r="E184" s="6" t="s">
        <v>33</v>
      </c>
      <c r="F184" s="19">
        <v>2</v>
      </c>
      <c r="G184" s="17">
        <v>46223</v>
      </c>
      <c r="H184" s="32">
        <v>2</v>
      </c>
      <c r="I184" s="39">
        <v>46224</v>
      </c>
      <c r="J184" s="32" t="s">
        <v>95</v>
      </c>
      <c r="K184" s="12" t="s">
        <v>96</v>
      </c>
      <c r="L184" s="41"/>
    </row>
    <row r="185" spans="1:12" s="11" customFormat="1" ht="31.2">
      <c r="A185" s="46"/>
      <c r="B185" s="47"/>
      <c r="C185" s="45"/>
      <c r="D185" s="15" t="s">
        <v>69</v>
      </c>
      <c r="E185" s="3" t="s">
        <v>34</v>
      </c>
      <c r="F185" s="19">
        <v>6</v>
      </c>
      <c r="G185" s="17">
        <v>46226</v>
      </c>
      <c r="H185" s="32">
        <v>10</v>
      </c>
      <c r="I185" s="39">
        <v>46225</v>
      </c>
      <c r="J185" s="32" t="s">
        <v>95</v>
      </c>
      <c r="K185" s="12" t="s">
        <v>96</v>
      </c>
      <c r="L185" s="41"/>
    </row>
    <row r="186" spans="1:12" s="11" customFormat="1">
      <c r="A186" s="46"/>
      <c r="B186" s="47"/>
      <c r="C186" s="45"/>
      <c r="D186" s="15" t="s">
        <v>70</v>
      </c>
      <c r="E186" s="3" t="s">
        <v>36</v>
      </c>
      <c r="F186" s="19">
        <v>2</v>
      </c>
      <c r="G186" s="17">
        <v>46226</v>
      </c>
      <c r="H186" s="32">
        <v>2</v>
      </c>
      <c r="I186" s="39">
        <v>46226</v>
      </c>
      <c r="J186" s="32" t="s">
        <v>95</v>
      </c>
      <c r="K186" s="12" t="s">
        <v>96</v>
      </c>
      <c r="L186" s="41"/>
    </row>
    <row r="187" spans="1:12" s="11" customFormat="1" ht="45">
      <c r="A187" s="46"/>
      <c r="B187" s="47"/>
      <c r="C187" s="45"/>
      <c r="D187" s="18" t="s">
        <v>68</v>
      </c>
      <c r="E187" s="6" t="s">
        <v>33</v>
      </c>
      <c r="F187" s="19">
        <v>4</v>
      </c>
      <c r="G187" s="17">
        <v>46227</v>
      </c>
      <c r="H187" s="32">
        <v>10</v>
      </c>
      <c r="I187" s="39">
        <v>46227</v>
      </c>
      <c r="J187" s="32" t="s">
        <v>95</v>
      </c>
      <c r="K187" s="12" t="s">
        <v>96</v>
      </c>
      <c r="L187" s="41"/>
    </row>
    <row r="188" spans="1:12" s="11" customFormat="1">
      <c r="A188" s="46"/>
      <c r="B188" s="47"/>
      <c r="C188" s="45"/>
      <c r="D188" s="12" t="s">
        <v>59</v>
      </c>
      <c r="E188" s="3" t="s">
        <v>34</v>
      </c>
      <c r="F188" s="19">
        <v>3</v>
      </c>
      <c r="G188" s="17">
        <v>46228</v>
      </c>
      <c r="H188" s="32">
        <v>7</v>
      </c>
      <c r="I188" s="39">
        <v>46232</v>
      </c>
      <c r="J188" s="32" t="s">
        <v>95</v>
      </c>
      <c r="K188" s="12" t="s">
        <v>96</v>
      </c>
      <c r="L188" s="41"/>
    </row>
    <row r="189" spans="1:12" s="11" customFormat="1">
      <c r="A189" s="46"/>
      <c r="B189" s="47"/>
      <c r="C189" s="45"/>
      <c r="D189" s="12" t="s">
        <v>3</v>
      </c>
      <c r="E189" s="6" t="s">
        <v>33</v>
      </c>
      <c r="F189" s="19">
        <v>2</v>
      </c>
      <c r="G189" s="17">
        <v>46229</v>
      </c>
      <c r="H189" s="32">
        <v>8</v>
      </c>
      <c r="I189" s="39">
        <v>46233</v>
      </c>
      <c r="J189" s="32" t="s">
        <v>95</v>
      </c>
      <c r="K189" s="12" t="s">
        <v>96</v>
      </c>
      <c r="L189" s="41"/>
    </row>
    <row r="190" spans="1:12" s="11" customFormat="1" ht="30">
      <c r="A190" s="46"/>
      <c r="B190" s="47"/>
      <c r="C190" s="45"/>
      <c r="D190" s="18" t="s">
        <v>67</v>
      </c>
      <c r="E190" s="6" t="s">
        <v>33</v>
      </c>
      <c r="F190" s="19">
        <v>3</v>
      </c>
      <c r="G190" s="17">
        <v>46230</v>
      </c>
      <c r="H190" s="32">
        <v>5</v>
      </c>
      <c r="I190" s="38">
        <v>46235</v>
      </c>
      <c r="J190" s="32" t="s">
        <v>95</v>
      </c>
      <c r="K190" s="12" t="s">
        <v>96</v>
      </c>
      <c r="L190" s="41"/>
    </row>
    <row r="191" spans="1:12" s="11" customFormat="1">
      <c r="A191" s="46"/>
      <c r="B191" s="47"/>
      <c r="C191" s="45"/>
      <c r="D191" s="12" t="s">
        <v>9</v>
      </c>
      <c r="E191" s="3" t="s">
        <v>34</v>
      </c>
      <c r="F191" s="19">
        <v>2</v>
      </c>
      <c r="G191" s="17">
        <v>46230</v>
      </c>
      <c r="H191" s="32">
        <v>3</v>
      </c>
      <c r="I191" s="38">
        <v>46236</v>
      </c>
      <c r="J191" s="32" t="s">
        <v>95</v>
      </c>
      <c r="K191" s="12" t="s">
        <v>96</v>
      </c>
      <c r="L191" s="41"/>
    </row>
    <row r="192" spans="1:12" s="11" customFormat="1">
      <c r="A192" s="46"/>
      <c r="B192" s="47"/>
      <c r="C192" s="45"/>
      <c r="D192" s="12" t="s">
        <v>14</v>
      </c>
      <c r="E192" s="6" t="s">
        <v>33</v>
      </c>
      <c r="F192" s="19">
        <v>3</v>
      </c>
      <c r="G192" s="17">
        <v>46230</v>
      </c>
      <c r="H192" s="32">
        <v>5</v>
      </c>
      <c r="I192" s="38">
        <v>46239</v>
      </c>
      <c r="J192" s="32" t="s">
        <v>95</v>
      </c>
      <c r="K192" s="12" t="s">
        <v>96</v>
      </c>
      <c r="L192" s="41"/>
    </row>
    <row r="193" spans="1:12" s="11" customFormat="1">
      <c r="A193" s="46"/>
      <c r="B193" s="47"/>
      <c r="C193" s="45"/>
      <c r="D193" s="12" t="s">
        <v>10</v>
      </c>
      <c r="E193" s="6" t="s">
        <v>34</v>
      </c>
      <c r="F193" s="19">
        <v>3</v>
      </c>
      <c r="G193" s="17">
        <v>46230</v>
      </c>
      <c r="H193" s="32">
        <v>5</v>
      </c>
      <c r="I193" s="38">
        <v>46239</v>
      </c>
      <c r="J193" s="32" t="s">
        <v>95</v>
      </c>
      <c r="K193" s="12" t="s">
        <v>96</v>
      </c>
      <c r="L193" s="41"/>
    </row>
    <row r="194" spans="1:12">
      <c r="A194" s="46"/>
      <c r="B194" s="47"/>
      <c r="C194" s="45"/>
      <c r="D194" s="12" t="s">
        <v>62</v>
      </c>
      <c r="E194" s="3"/>
      <c r="F194" s="5">
        <v>10</v>
      </c>
      <c r="G194" s="3"/>
      <c r="H194" s="2">
        <v>12</v>
      </c>
      <c r="I194" s="4"/>
      <c r="J194" s="4"/>
      <c r="K194" s="12" t="s">
        <v>96</v>
      </c>
      <c r="L194" s="42"/>
    </row>
    <row r="195" spans="1:12">
      <c r="A195" s="46"/>
    </row>
    <row r="196" spans="1:12">
      <c r="A196" s="46"/>
    </row>
    <row r="197" spans="1:12">
      <c r="A197" s="46"/>
    </row>
    <row r="198" spans="1:12">
      <c r="A198" s="46"/>
    </row>
    <row r="199" spans="1:12">
      <c r="A199" s="46"/>
    </row>
  </sheetData>
  <mergeCells count="105">
    <mergeCell ref="B2:G2"/>
    <mergeCell ref="J17:J18"/>
    <mergeCell ref="K17:K18"/>
    <mergeCell ref="B17:B18"/>
    <mergeCell ref="C17:C18"/>
    <mergeCell ref="D17:D18"/>
    <mergeCell ref="E17:E18"/>
    <mergeCell ref="F17:G17"/>
    <mergeCell ref="J87:J88"/>
    <mergeCell ref="K87:K88"/>
    <mergeCell ref="D37:D38"/>
    <mergeCell ref="E37:E38"/>
    <mergeCell ref="F37:G37"/>
    <mergeCell ref="C37:C38"/>
    <mergeCell ref="H17:I17"/>
    <mergeCell ref="C19:C30"/>
    <mergeCell ref="B19:B30"/>
    <mergeCell ref="K52:K53"/>
    <mergeCell ref="B54:B65"/>
    <mergeCell ref="C54:C65"/>
    <mergeCell ref="A15:A48"/>
    <mergeCell ref="A50:A83"/>
    <mergeCell ref="B52:B53"/>
    <mergeCell ref="C52:C53"/>
    <mergeCell ref="D52:D53"/>
    <mergeCell ref="E52:E53"/>
    <mergeCell ref="F52:G52"/>
    <mergeCell ref="C72:C73"/>
    <mergeCell ref="D72:D73"/>
    <mergeCell ref="E72:E73"/>
    <mergeCell ref="F72:G72"/>
    <mergeCell ref="D76:E76"/>
    <mergeCell ref="D77:E77"/>
    <mergeCell ref="G76:I76"/>
    <mergeCell ref="G77:I77"/>
    <mergeCell ref="D41:E41"/>
    <mergeCell ref="G41:I41"/>
    <mergeCell ref="D42:E42"/>
    <mergeCell ref="G42:I42"/>
    <mergeCell ref="H52:I52"/>
    <mergeCell ref="J52:J53"/>
    <mergeCell ref="D112:E112"/>
    <mergeCell ref="G112:I112"/>
    <mergeCell ref="A85:A119"/>
    <mergeCell ref="B87:B88"/>
    <mergeCell ref="C87:C88"/>
    <mergeCell ref="D87:D88"/>
    <mergeCell ref="E87:E88"/>
    <mergeCell ref="B89:B100"/>
    <mergeCell ref="C89:C100"/>
    <mergeCell ref="C107:C108"/>
    <mergeCell ref="D107:D108"/>
    <mergeCell ref="E107:E108"/>
    <mergeCell ref="D113:E113"/>
    <mergeCell ref="F87:G87"/>
    <mergeCell ref="H87:I87"/>
    <mergeCell ref="A143:A170"/>
    <mergeCell ref="L17:L18"/>
    <mergeCell ref="L19:L30"/>
    <mergeCell ref="L123:L124"/>
    <mergeCell ref="L125:L136"/>
    <mergeCell ref="L87:L88"/>
    <mergeCell ref="L89:L100"/>
    <mergeCell ref="L52:L53"/>
    <mergeCell ref="L54:L65"/>
    <mergeCell ref="J123:J124"/>
    <mergeCell ref="K123:K124"/>
    <mergeCell ref="B125:B136"/>
    <mergeCell ref="C125:C136"/>
    <mergeCell ref="A121:A136"/>
    <mergeCell ref="G113:I113"/>
    <mergeCell ref="B123:B124"/>
    <mergeCell ref="C123:C124"/>
    <mergeCell ref="D123:D124"/>
    <mergeCell ref="E123:E124"/>
    <mergeCell ref="F123:G123"/>
    <mergeCell ref="H123:I123"/>
    <mergeCell ref="F107:G107"/>
    <mergeCell ref="D111:E111"/>
    <mergeCell ref="G111:I111"/>
    <mergeCell ref="L154:L165"/>
    <mergeCell ref="F152:G152"/>
    <mergeCell ref="H152:I152"/>
    <mergeCell ref="J152:J153"/>
    <mergeCell ref="K152:K153"/>
    <mergeCell ref="L152:L153"/>
    <mergeCell ref="B152:B153"/>
    <mergeCell ref="C152:C153"/>
    <mergeCell ref="D152:D153"/>
    <mergeCell ref="E152:E153"/>
    <mergeCell ref="B154:B165"/>
    <mergeCell ref="C154:C165"/>
    <mergeCell ref="L183:L194"/>
    <mergeCell ref="F181:G181"/>
    <mergeCell ref="H181:I181"/>
    <mergeCell ref="J181:J182"/>
    <mergeCell ref="K181:K182"/>
    <mergeCell ref="L181:L182"/>
    <mergeCell ref="A172:A199"/>
    <mergeCell ref="B181:B182"/>
    <mergeCell ref="C181:C182"/>
    <mergeCell ref="D181:D182"/>
    <mergeCell ref="E181:E182"/>
    <mergeCell ref="B183:B194"/>
    <mergeCell ref="C183:C19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Development program  1</vt:lpstr>
      <vt:lpstr>Development program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Imanuel Iman</dc:creator>
  <cp:lastModifiedBy>Aji Syahputra</cp:lastModifiedBy>
  <dcterms:created xsi:type="dcterms:W3CDTF">2026-07-21T02:28:45Z</dcterms:created>
  <dcterms:modified xsi:type="dcterms:W3CDTF">2026-07-22T08:12:14Z</dcterms:modified>
</cp:coreProperties>
</file>